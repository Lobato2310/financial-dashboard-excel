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OneDrive\Documentos\"/>
    </mc:Choice>
  </mc:AlternateContent>
  <xr:revisionPtr revIDLastSave="0" documentId="8_{1B8B5085-B7C5-4A7B-B53C-C9A1274CA560}" xr6:coauthVersionLast="47" xr6:coauthVersionMax="47" xr10:uidLastSave="{00000000-0000-0000-0000-000000000000}"/>
  <bookViews>
    <workbookView xWindow="-120" yWindow="-120" windowWidth="20730" windowHeight="11760" tabRatio="394" activeTab="1" xr2:uid="{00000000-000D-0000-FFFF-FFFF00000000}"/>
  </bookViews>
  <sheets>
    <sheet name="Sheet1" sheetId="6" r:id="rId1"/>
    <sheet name="Planilha1" sheetId="7" r:id="rId2"/>
  </sheets>
  <calcPr calcId="19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7" l="1"/>
</calcChain>
</file>

<file path=xl/sharedStrings.xml><?xml version="1.0" encoding="utf-8"?>
<sst xmlns="http://schemas.openxmlformats.org/spreadsheetml/2006/main" count="4242" uniqueCount="61">
  <si>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</si>
  <si>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</si>
  <si>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</si>
  <si>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</si>
  <si>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</si>
  <si>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</si>
  <si>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</si>
  <si>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</si>
  <si>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</si>
  <si>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</si>
  <si>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</si>
  <si>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</si>
  <si>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</si>
  <si>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</si>
  <si>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</si>
  <si>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</si>
  <si>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</si>
  <si>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</si>
  <si>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</si>
  <si>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</si>
  <si>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</si>
  <si>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</si>
  <si>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</si>
  <si>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</si>
  <si>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</si>
  <si>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</si>
  <si>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</si>
  <si>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</si>
  <si>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</si>
  <si>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</si>
  <si>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</si>
  <si>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</si>
  <si>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</si>
  <si>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</si>
  <si>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</si>
  <si>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</si>
  <si>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</si>
  <si>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</si>
  <si>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</si>
  <si>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</si>
  <si>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</si>
  <si>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</si>
  <si>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</si>
  <si>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</si>
  <si>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</si>
  <si>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</si>
  <si>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</si>
  <si>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</si>
  <si>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</si>
  <si>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</si>
  <si>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Coluna1</t>
  </si>
  <si>
    <t>Total Geral</t>
  </si>
  <si>
    <t>Faturamento Total</t>
  </si>
  <si>
    <t>Lucro Total</t>
  </si>
  <si>
    <t>Porcentagem</t>
  </si>
  <si>
    <t>Lucro</t>
  </si>
  <si>
    <t>Segmento</t>
  </si>
  <si>
    <t>Faturamento</t>
  </si>
  <si>
    <t>País</t>
  </si>
  <si>
    <t>Ano</t>
  </si>
  <si>
    <t>EUA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</si>
</sst>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9" fontId="4" fillId="3" borderId="0" xfId="2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89"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vertical="center"/>
    </dxf>
    <dxf>
      <alignment horizontal="center"/>
    </dxf>
    <dxf>
      <alignment vertical="center"/>
    </dxf>
    <dxf>
      <alignment horizontal="center"/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vertical="center"/>
    </dxf>
    <dxf>
      <alignment horizontal="center"/>
    </dxf>
    <dxf>
      <alignment vertical="center"/>
    </dxf>
    <dxf>
      <alignment horizontal="center"/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fill>
        <patternFill patternType="solid">
          <bgColor rgb="FF000099"/>
        </patternFill>
      </fill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Sample.xlsx]Planilha1!Tabela dinâmica9</c:name>
    <c:fmtId val="1"/>
  </c:pivotSource>
  <c:chart>
    <c:autoTitleDeleted val="1"/>
    <c:pivotFmts>
      <c:pivotFmt>
        <c:idx val="0"/>
        <c:spPr>
          <a:solidFill>
            <a:schemeClr val="tx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296702639214623"/>
          <c:y val="0.20772929425488482"/>
          <c:w val="0.8570329736078538"/>
          <c:h val="0.5841094342373870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Planilha1!$H$9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cat>
            <c:strRef>
              <c:f>Planilha1!$G$10:$G$15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EUA</c:v>
                </c:pt>
              </c:strCache>
            </c:strRef>
          </c:cat>
          <c:val>
            <c:numRef>
              <c:f>Planilha1!$H$10:$H$15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E-49B5-95CD-2D666B5FA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9801088"/>
        <c:axId val="689800608"/>
        <c:axId val="0"/>
      </c:bar3DChart>
      <c:catAx>
        <c:axId val="6898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9800608"/>
        <c:crosses val="autoZero"/>
        <c:auto val="1"/>
        <c:lblAlgn val="ctr"/>
        <c:lblOffset val="100"/>
        <c:noMultiLvlLbl val="0"/>
      </c:catAx>
      <c:valAx>
        <c:axId val="689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9801088"/>
        <c:crosses val="autoZero"/>
        <c:crossBetween val="between"/>
      </c:valAx>
      <c:spPr>
        <a:solidFill>
          <a:srgbClr val="000099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00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Sample.xlsx]Planilha1!Tabela dinâmica10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Segmentos mais</a:t>
            </a:r>
            <a:r>
              <a:rPr lang="en-US" baseline="0">
                <a:solidFill>
                  <a:schemeClr val="bg1"/>
                </a:solidFill>
              </a:rPr>
              <a:t> rentáveis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869234470691163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258092738407699"/>
          <c:y val="0.23550707203266255"/>
          <c:w val="0.82686351706036743"/>
          <c:h val="0.4511067326978717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Planilha1!$M$9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cat>
            <c:strRef>
              <c:f>Planilha1!$L$10:$L$15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Planilha1!$M$10:$M$15</c:f>
              <c:numCache>
                <c:formatCode>General</c:formatCode>
                <c:ptCount val="5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C-41CE-A3DA-FF9A2FF2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935536"/>
        <c:axId val="697937456"/>
        <c:axId val="0"/>
      </c:bar3DChart>
      <c:catAx>
        <c:axId val="6979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7937456"/>
        <c:crosses val="autoZero"/>
        <c:auto val="1"/>
        <c:lblAlgn val="ctr"/>
        <c:lblOffset val="100"/>
        <c:noMultiLvlLbl val="0"/>
      </c:catAx>
      <c:valAx>
        <c:axId val="6979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793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00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Sample.xlsx]Planilha1!Tabela dinâmica11</c:name>
    <c:fmtId val="12"/>
  </c:pivotSource>
  <c:chart>
    <c:autoTitleDeleted val="0"/>
    <c:pivotFmts>
      <c:pivotFmt>
        <c:idx val="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Planilha1!$H$23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Planilha1!$G$24:$G$26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Planilha1!$H$24:$H$26</c:f>
              <c:numCache>
                <c:formatCode>General</c:formatCode>
                <c:ptCount val="2"/>
                <c:pt idx="0">
                  <c:v>26415255.510000009</c:v>
                </c:pt>
                <c:pt idx="1">
                  <c:v>92311094.749999985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2-4AF9-8E1A-4424200E65A1}"/>
            </c:ext>
          </c:extLst>
        </c:ser>
        <c:ser>
          <c:idx val="1"/>
          <c:order val="1"/>
          <c:tx>
            <c:strRef>
              <c:f>Planilha1!$I$23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Planilha1!$G$24:$G$26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Planilha1!$I$24:$I$26</c:f>
              <c:numCache>
                <c:formatCode>General</c:formatCode>
                <c:ptCount val="2"/>
                <c:pt idx="0">
                  <c:v>3878464.5100000007</c:v>
                </c:pt>
                <c:pt idx="1">
                  <c:v>13015237.749999994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2-4AF9-8E1A-4424200E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98480"/>
        <c:axId val="410098960"/>
      </c:lineChart>
      <c:catAx>
        <c:axId val="41009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098960"/>
        <c:crosses val="autoZero"/>
        <c:auto val="1"/>
        <c:lblAlgn val="ctr"/>
        <c:lblOffset val="100"/>
        <c:noMultiLvlLbl val="0"/>
      </c:catAx>
      <c:valAx>
        <c:axId val="4100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0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2</xdr:row>
      <xdr:rowOff>171449</xdr:rowOff>
    </xdr:from>
    <xdr:to>
      <xdr:col>2</xdr:col>
      <xdr:colOff>0</xdr:colOff>
      <xdr:row>7</xdr:row>
      <xdr:rowOff>171450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255D709-684A-F6AB-450F-7E284FCE6BD7}"/>
            </a:ext>
          </a:extLst>
        </xdr:cNvPr>
        <xdr:cNvSpPr txBox="1"/>
      </xdr:nvSpPr>
      <xdr:spPr>
        <a:xfrm>
          <a:off x="609602" y="552449"/>
          <a:ext cx="1171573" cy="571501"/>
        </a:xfrm>
        <a:prstGeom prst="rect">
          <a:avLst/>
        </a:prstGeom>
        <a:solidFill>
          <a:srgbClr val="0000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>
              <a:solidFill>
                <a:schemeClr val="bg1"/>
              </a:solidFill>
            </a:rPr>
            <a:t>Qual foi o faturamento total no período analisado?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2</xdr:row>
      <xdr:rowOff>180976</xdr:rowOff>
    </xdr:from>
    <xdr:to>
      <xdr:col>5</xdr:col>
      <xdr:colOff>9525</xdr:colOff>
      <xdr:row>8</xdr:row>
      <xdr:rowOff>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D79B3E7-6DF4-714F-0739-71AE0D5758AF}"/>
            </a:ext>
          </a:extLst>
        </xdr:cNvPr>
        <xdr:cNvSpPr txBox="1"/>
      </xdr:nvSpPr>
      <xdr:spPr>
        <a:xfrm>
          <a:off x="2171700" y="561976"/>
          <a:ext cx="2638425" cy="962024"/>
        </a:xfrm>
        <a:prstGeom prst="rect">
          <a:avLst/>
        </a:prstGeom>
        <a:solidFill>
          <a:srgbClr val="0000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>
              <a:solidFill>
                <a:schemeClr val="bg1"/>
              </a:solidFill>
            </a:rPr>
            <a:t>Qual foi o lucro total e a margem de lucro (%)?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9897</xdr:colOff>
      <xdr:row>2</xdr:row>
      <xdr:rowOff>37439</xdr:rowOff>
    </xdr:from>
    <xdr:to>
      <xdr:col>10</xdr:col>
      <xdr:colOff>1452024</xdr:colOff>
      <xdr:row>14</xdr:row>
      <xdr:rowOff>173182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25AF857C-28A7-1F1E-677D-AAF6D1955A44}"/>
            </a:ext>
          </a:extLst>
        </xdr:cNvPr>
        <xdr:cNvGrpSpPr/>
      </xdr:nvGrpSpPr>
      <xdr:grpSpPr>
        <a:xfrm>
          <a:off x="4228111" y="51046"/>
          <a:ext cx="6122984" cy="2367315"/>
          <a:chOff x="4743450" y="561975"/>
          <a:chExt cx="6936583" cy="2342988"/>
        </a:xfrm>
      </xdr:grpSpPr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5E1CE578-8DDC-2DB1-98E1-A984FD121B4B}"/>
              </a:ext>
            </a:extLst>
          </xdr:cNvPr>
          <xdr:cNvSpPr txBox="1"/>
        </xdr:nvSpPr>
        <xdr:spPr>
          <a:xfrm>
            <a:off x="4743450" y="561975"/>
            <a:ext cx="6934200" cy="971550"/>
          </a:xfrm>
          <a:prstGeom prst="rect">
            <a:avLst/>
          </a:prstGeom>
          <a:solidFill>
            <a:srgbClr val="000099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>
                <a:solidFill>
                  <a:schemeClr val="bg1"/>
                </a:solidFill>
              </a:rPr>
              <a:t>Quais países são mais rentáveis para a empresa?</a:t>
            </a:r>
            <a:endParaRPr lang="pt-BR" sz="1100">
              <a:solidFill>
                <a:schemeClr val="bg1"/>
              </a:solidFill>
            </a:endParaRPr>
          </a:p>
        </xdr:txBody>
      </xdr:sp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B3B4E3E3-8AAE-09CD-48B2-89DA9911A8EE}"/>
              </a:ext>
            </a:extLst>
          </xdr:cNvPr>
          <xdr:cNvGraphicFramePr/>
        </xdr:nvGraphicFramePr>
        <xdr:xfrm>
          <a:off x="7086561" y="1528512"/>
          <a:ext cx="4593472" cy="1376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11</xdr:col>
      <xdr:colOff>22411</xdr:colOff>
      <xdr:row>3</xdr:row>
      <xdr:rowOff>0</xdr:rowOff>
    </xdr:from>
    <xdr:to>
      <xdr:col>18</xdr:col>
      <xdr:colOff>347382</xdr:colOff>
      <xdr:row>7</xdr:row>
      <xdr:rowOff>179295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738844DB-20B4-A16F-1A0E-AFB72028B732}"/>
            </a:ext>
          </a:extLst>
        </xdr:cNvPr>
        <xdr:cNvSpPr txBox="1"/>
      </xdr:nvSpPr>
      <xdr:spPr>
        <a:xfrm>
          <a:off x="11564470" y="56029"/>
          <a:ext cx="6947647" cy="941295"/>
        </a:xfrm>
        <a:prstGeom prst="rect">
          <a:avLst/>
        </a:prstGeom>
        <a:solidFill>
          <a:srgbClr val="0000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>
              <a:solidFill>
                <a:schemeClr val="bg1"/>
              </a:solidFill>
            </a:rPr>
            <a:t>Qual segmento vende mais?</a:t>
          </a:r>
        </a:p>
        <a:p>
          <a:endParaRPr lang="pt-BR" sz="1100"/>
        </a:p>
      </xdr:txBody>
    </xdr:sp>
    <xdr:clientData/>
  </xdr:twoCellAnchor>
  <xdr:twoCellAnchor>
    <xdr:from>
      <xdr:col>13</xdr:col>
      <xdr:colOff>40820</xdr:colOff>
      <xdr:row>8</xdr:row>
      <xdr:rowOff>-1</xdr:rowOff>
    </xdr:from>
    <xdr:to>
      <xdr:col>18</xdr:col>
      <xdr:colOff>369794</xdr:colOff>
      <xdr:row>15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8D7F01F-9690-E56F-5092-4D934124B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34637</xdr:colOff>
      <xdr:row>16</xdr:row>
      <xdr:rowOff>86591</xdr:rowOff>
    </xdr:from>
    <xdr:to>
      <xdr:col>12</xdr:col>
      <xdr:colOff>68035</xdr:colOff>
      <xdr:row>21</xdr:row>
      <xdr:rowOff>69272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2097059-C49A-7C45-C6BB-05EF13F36FED}"/>
            </a:ext>
          </a:extLst>
        </xdr:cNvPr>
        <xdr:cNvSpPr txBox="1"/>
      </xdr:nvSpPr>
      <xdr:spPr>
        <a:xfrm>
          <a:off x="4198423" y="2631127"/>
          <a:ext cx="8224898" cy="935181"/>
        </a:xfrm>
        <a:prstGeom prst="rect">
          <a:avLst/>
        </a:prstGeom>
        <a:solidFill>
          <a:srgbClr val="0000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b="1">
              <a:solidFill>
                <a:schemeClr val="bg1"/>
              </a:solidFill>
            </a:rPr>
            <a:t>O desempenho financeiro melhora ao longo dos anos?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74839</xdr:colOff>
      <xdr:row>21</xdr:row>
      <xdr:rowOff>91166</xdr:rowOff>
    </xdr:from>
    <xdr:to>
      <xdr:col>12</xdr:col>
      <xdr:colOff>47624</xdr:colOff>
      <xdr:row>34</xdr:row>
      <xdr:rowOff>85723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F28C9E-8159-6542-D0C2-25DC40D45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Lobato" refreshedDate="46055.728618518522" missingItemsLimit="1048576" createdVersion="8" refreshedVersion="8" minRefreshableVersion="3" recordCount="700" xr:uid="{0990D57E-E9CC-484D-A527-65DF745C789F}">
  <cacheSource type="worksheet">
    <worksheetSource name="financials"/>
  </cacheSource>
  <cacheFields count="17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/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 count="559">
        <n v="32370"/>
        <n v="26420"/>
        <n v="32670"/>
        <n v="13320"/>
        <n v="37050"/>
        <n v="529550"/>
        <n v="13815"/>
        <n v="30216"/>
        <n v="37980"/>
        <n v="18540"/>
        <n v="333187.5"/>
        <n v="287400"/>
        <n v="15022"/>
        <n v="43125"/>
        <n v="9225"/>
        <n v="5840"/>
        <n v="14610"/>
        <n v="352100"/>
        <n v="4404"/>
        <n v="6181"/>
        <n v="8235"/>
        <n v="236400"/>
        <n v="37080"/>
        <n v="8001"/>
        <n v="603750"/>
        <n v="10944"/>
        <n v="32280"/>
        <n v="36340"/>
        <n v="10451"/>
        <n v="225500"/>
        <n v="25932"/>
        <n v="352625"/>
        <n v="600300"/>
        <n v="34056"/>
        <n v="534450"/>
        <n v="645300"/>
        <n v="962500"/>
        <n v="23436"/>
        <n v="527437.5"/>
        <n v="11802"/>
        <n v="25692"/>
        <n v="27338.850000000002"/>
        <n v="34095.599999999999"/>
        <n v="7137.9"/>
        <n v="4428.2700000000004"/>
        <n v="9189.18"/>
        <n v="22073.040000000001"/>
        <n v="419265"/>
        <n v="17525.97"/>
        <n v="17166.599999999999"/>
        <n v="40837.5"/>
        <n v="31731.48"/>
        <n v="9100.08"/>
        <n v="146718"/>
        <n v="484060.5"/>
        <n v="746707.5"/>
        <n v="32877.9"/>
        <n v="683397"/>
        <n v="27234.899999999998"/>
        <n v="12681.9"/>
        <n v="741906"/>
        <n v="82046.25"/>
        <n v="22482.9"/>
        <n v="31133.024999999998"/>
        <n v="89966.25"/>
        <n v="97391.25"/>
        <n v="225596.25"/>
        <n v="11092.95"/>
        <n v="862785"/>
        <n v="76507.200000000012"/>
        <n v="2508.66"/>
        <n v="114221.25"/>
        <n v="14497.56"/>
        <n v="1822.59"/>
        <n v="326922.75"/>
        <n v="292842"/>
        <n v="215820"/>
        <n v="23629.32"/>
        <n v="4766.8500000000004"/>
        <n v="90956.25"/>
        <n v="15229.2"/>
        <n v="62916"/>
        <n v="14714.7"/>
        <n v="978236"/>
        <n v="13429.92"/>
        <n v="30693.599999999999"/>
        <n v="8114.4"/>
        <n v="203350"/>
        <n v="34736.1"/>
        <n v="269892"/>
        <n v="508032"/>
        <n v="81095"/>
        <n v="99102.5"/>
        <n v="262762.5"/>
        <n v="20991.599999999999"/>
        <n v="563304"/>
        <n v="334302.5"/>
        <n v="28297.5"/>
        <n v="13809.18"/>
        <n v="12406.8"/>
        <n v="12747.84"/>
        <n v="1017338"/>
        <n v="986811"/>
        <n v="10662.4"/>
        <n v="91238"/>
        <n v="665420"/>
        <n v="76146"/>
        <n v="323694"/>
        <n v="278810"/>
        <n v="24225.599999999999"/>
        <n v="18443.599999999999"/>
        <n v="514524.375"/>
        <n v="50052"/>
        <n v="200499"/>
        <n v="22663.08"/>
        <n v="10569.12"/>
        <n v="13294.82"/>
        <n v="22127.64"/>
        <n v="3693.76"/>
        <n v="610081.5"/>
        <n v="156048.75"/>
        <n v="206852.5"/>
        <n v="708439.5"/>
        <n v="215097.5"/>
        <n v="190362.5"/>
        <n v="15940.98"/>
        <n v="243591.25"/>
        <n v="28299.75"/>
        <n v="827604"/>
        <n v="22302.240000000002"/>
        <n v="545334"/>
        <n v="557459"/>
        <n v="16121.4"/>
        <n v="11950.4"/>
        <n v="74699.700000000012"/>
        <n v="28855.56"/>
        <n v="29246.400000000001"/>
        <n v="32558.400000000001"/>
        <n v="14131.2"/>
        <n v="19158.72"/>
        <n v="582048"/>
        <n v="92064"/>
        <n v="28324.799999999999"/>
        <n v="535392"/>
        <n v="136560"/>
        <n v="28566.720000000001"/>
        <n v="95400"/>
        <n v="407376"/>
        <n v="840384"/>
        <n v="1159200"/>
        <n v="358560"/>
        <n v="3139.2"/>
        <n v="39820.800000000003"/>
        <n v="20275.2"/>
        <n v="9662.4"/>
        <n v="21801.599999999999"/>
        <n v="16876.8"/>
        <n v="50803.199999999997"/>
        <n v="731472"/>
        <n v="9976.32"/>
        <n v="117264"/>
        <n v="626640"/>
        <n v="128880"/>
        <n v="640752"/>
        <n v="597408"/>
        <n v="7707.35"/>
        <n v="9123.7999999999993"/>
        <n v="15620.85"/>
        <n v="17881.849999999999"/>
        <n v="27713.4"/>
        <n v="11191.95"/>
        <n v="12802.2"/>
        <n v="21261"/>
        <n v="12722.4"/>
        <n v="29697"/>
        <n v="282435"/>
        <n v="6756.4"/>
        <n v="39771.75"/>
        <n v="3790.5"/>
        <n v="16538.55"/>
        <n v="460346.25"/>
        <n v="430706.25"/>
        <n v="239400"/>
        <n v="26698.799999999999"/>
        <n v="313500"/>
        <n v="24757"/>
        <n v="355300"/>
        <n v="283218.75"/>
        <n v="457995"/>
        <n v="15474.55"/>
        <n v="200165"/>
        <n v="37335"/>
        <n v="408310"/>
        <n v="26391"/>
        <n v="102243.75"/>
        <n v="83600"/>
        <n v="34238"/>
        <n v="50597"/>
        <n v="14204.4"/>
        <n v="30153"/>
        <n v="7908.75"/>
        <n v="40769.25"/>
        <n v="95831.25"/>
        <n v="53808"/>
        <n v="30001"/>
        <n v="19627"/>
        <n v="356250"/>
        <n v="24035"/>
        <n v="43643"/>
        <n v="448875"/>
        <n v="183540"/>
        <n v="53594.100000000006"/>
        <n v="21009"/>
        <n v="40100.400000000001"/>
        <n v="6339.36"/>
        <n v="25932.720000000001"/>
        <n v="28623"/>
        <n v="1730.54"/>
        <n v="104222.5"/>
        <n v="322420"/>
        <n v="480340"/>
        <n v="9231.74"/>
        <n v="30715.439999999999"/>
        <n v="492184"/>
        <n v="239183"/>
        <n v="111860"/>
        <n v="323712.5"/>
        <n v="21573"/>
        <n v="9856.84"/>
        <n v="344322"/>
        <n v="683004"/>
        <n v="21112.400000000001"/>
        <n v="686952"/>
        <n v="233531.25"/>
        <n v="552391"/>
        <n v="33031.599999999999"/>
        <n v="30991.8"/>
        <n v="24576.3"/>
        <n v="16257.3"/>
        <n v="18818.8"/>
        <n v="8771.14"/>
        <n v="8113.32"/>
        <n v="21025.439999999999"/>
        <n v="34112.400000000001"/>
        <n v="26114.400000000001"/>
        <n v="26136.720000000001"/>
        <n v="6711.81"/>
        <n v="17604.900000000001"/>
        <n v="7388.85"/>
        <n v="3560.9700000000003"/>
        <n v="10298.82"/>
        <n v="19401.66"/>
        <n v="24719.4"/>
        <n v="573205.5"/>
        <n v="124992"/>
        <n v="608499"/>
        <n v="36753.599999999999"/>
        <n v="290625"/>
        <n v="474858"/>
        <n v="408386.25"/>
        <n v="29308.95"/>
        <n v="40887.449999999997"/>
        <n v="28551"/>
        <n v="313317"/>
        <n v="391716"/>
        <n v="30835.08"/>
        <n v="13833.75"/>
        <n v="462861"/>
        <n v="11327.4"/>
        <n v="242613.75"/>
        <n v="26430.6"/>
        <n v="382788"/>
        <n v="10936.8"/>
        <n v="36208.620000000003"/>
        <n v="267561"/>
        <n v="766413"/>
        <n v="191231.25"/>
        <n v="936138"/>
        <n v="115552.5"/>
        <n v="20794.8"/>
        <n v="3142.7200000000003"/>
        <n v="23588.799999999999"/>
        <n v="1655.08"/>
        <n v="177100"/>
        <n v="6762"/>
        <n v="438564"/>
        <n v="34513.800000000003"/>
        <n v="13027.2"/>
        <n v="11868"/>
        <n v="431112"/>
        <n v="354108"/>
        <n v="9811.7999999999993"/>
        <n v="128110"/>
        <n v="8107.96"/>
        <n v="7051.8"/>
        <n v="25134.400000000001"/>
        <n v="678960"/>
        <n v="4366.32"/>
        <n v="10291.120000000001"/>
        <n v="15513.96"/>
        <n v="35585.599999999999"/>
        <n v="55071.199999999997"/>
        <n v="691012"/>
        <n v="12532.24"/>
        <n v="6601.92"/>
        <n v="18721.080000000002"/>
        <n v="15056.72"/>
        <n v="106536"/>
        <n v="175260"/>
        <n v="184989"/>
        <n v="122682"/>
        <n v="135884"/>
        <n v="588984"/>
        <n v="223008"/>
        <n v="27968"/>
        <n v="15180"/>
        <n v="8031.5999999999995"/>
        <n v="298662"/>
        <n v="4007.64"/>
        <n v="1038082.5"/>
        <n v="530621"/>
        <n v="87906"/>
        <n v="25345.32"/>
        <n v="211233.75"/>
        <n v="10262.07"/>
        <n v="318158.75"/>
        <n v="91182"/>
        <n v="700245"/>
        <n v="769814.5"/>
        <n v="50163.75"/>
        <n v="16748.55"/>
        <n v="361452"/>
        <n v="19383"/>
        <n v="3344.25"/>
        <n v="1035625.5"/>
        <n v="416279.5"/>
        <n v="64496.25"/>
        <n v="240012.5"/>
        <n v="404176.5"/>
        <n v="21359.52"/>
        <n v="725907"/>
        <n v="430452.75"/>
        <n v="9609.6"/>
        <n v="509691"/>
        <n v="24395.279999999999"/>
        <n v="99758.75"/>
        <n v="659613.5"/>
        <n v="13240.5"/>
        <n v="30830.799999999999"/>
        <n v="12066.6"/>
        <n v="5217.03"/>
        <n v="17253.599999999999"/>
        <n v="3318.77"/>
        <n v="17708.599999999999"/>
        <n v="18891.599999999999"/>
        <n v="2293.1999999999998"/>
        <n v="21479.64"/>
        <n v="35872.199999999997"/>
        <n v="48812.4"/>
        <n v="22256.324999999997"/>
        <n v="3341.52"/>
        <n v="4168.8"/>
        <n v="14666.4"/>
        <n v="387618.75"/>
        <n v="166725"/>
        <n v="728595"/>
        <n v="202950"/>
        <n v="27972"/>
        <n v="35172"/>
        <n v="159570"/>
        <n v="29254.5"/>
        <n v="4338"/>
        <n v="9193.5"/>
        <n v="6885"/>
        <n v="10665"/>
        <n v="201285"/>
        <n v="179550"/>
        <n v="619380"/>
        <n v="16789.5"/>
        <n v="215550"/>
        <n v="230310"/>
        <n v="38362.5"/>
        <n v="8653.5"/>
        <n v="884205"/>
        <n v="116640"/>
        <n v="284512.5"/>
        <n v="589050"/>
        <n v="65137.5"/>
        <n v="705600"/>
        <n v="808110"/>
        <n v="38021.399999999994"/>
        <n v="36702"/>
        <n v="27799.200000000001"/>
        <n v="222705"/>
        <n v="12794.64"/>
        <n v="15774.36"/>
        <n v="5126.3999999999996"/>
        <n v="5040.96"/>
        <n v="9837.17"/>
        <n v="10733.4"/>
        <n v="42713.324999999997"/>
        <n v="20687.16"/>
        <n v="246708"/>
        <n v="750537"/>
        <n v="271561.25"/>
        <n v="20826"/>
        <n v="16858.38"/>
        <n v="238609"/>
        <n v="53257.599999999999"/>
        <n v="28795.95"/>
        <n v="233091"/>
        <n v="19971.599999999999"/>
        <n v="655551.75"/>
        <n v="42997.68"/>
        <n v="25904.340000000004"/>
        <n v="42613.2"/>
        <n v="26486.400000000001"/>
        <n v="364722"/>
        <n v="49929"/>
        <n v="8744.25"/>
        <n v="107156"/>
        <n v="11263.84"/>
        <n v="18519.12"/>
        <n v="61632.5"/>
        <n v="52243"/>
        <n v="352106.25"/>
        <n v="46796.2"/>
        <n v="159421.25"/>
        <n v="105353.75"/>
        <n v="2367.4"/>
        <n v="272888"/>
        <n v="265760"/>
        <n v="237160"/>
        <n v="35494.800000000003"/>
        <n v="8936.4"/>
        <n v="468072"/>
        <n v="14907.2"/>
        <n v="16841.439999999999"/>
        <n v="30184"/>
        <n v="313104"/>
        <n v="922680"/>
        <n v="15928"/>
        <n v="490952"/>
        <n v="358776"/>
        <n v="567600"/>
        <n v="368676"/>
        <n v="5016"/>
        <n v="21700.799999999999"/>
        <n v="429660"/>
        <n v="303688"/>
        <n v="22271.040000000001"/>
        <n v="51143.399999999994"/>
        <n v="191884"/>
        <n v="262570"/>
        <n v="83160"/>
        <n v="21076.44"/>
        <n v="33633.599999999999"/>
        <n v="44378.399999999994"/>
        <n v="28100.16"/>
        <n v="26945.599999999999"/>
        <n v="9184.56"/>
        <n v="29156.16"/>
        <n v="33499.35"/>
        <n v="281053.5"/>
        <n v="545055"/>
        <n v="7690.8"/>
        <n v="299171.25"/>
        <n v="7904.82"/>
        <n v="6305.76"/>
        <n v="39237"/>
        <n v="21732.6"/>
        <n v="8760.4650000000001"/>
        <n v="210627"/>
        <n v="45953.4"/>
        <n v="47119.199999999997"/>
        <n v="801444"/>
        <n v="172151.25"/>
        <n v="5961.24"/>
        <n v="16418.64"/>
        <n v="20423.25"/>
        <n v="108706.5"/>
        <n v="10575.72"/>
        <n v="52167.375"/>
        <n v="7247.1"/>
        <n v="8613"/>
        <n v="4280.3999999999996"/>
        <n v="679905"/>
        <n v="180416.25"/>
        <n v="18478.8"/>
        <n v="44358.8"/>
        <n v="29979.599999999999"/>
        <n v="18035.919999999998"/>
        <n v="1685.6"/>
        <n v="1763.8600000000001"/>
        <n v="3586.2"/>
        <n v="41761.599999999999"/>
        <n v="22794.3"/>
        <n v="14375.76"/>
        <n v="206658"/>
        <n v="109972.5"/>
        <n v="385968"/>
        <n v="260580"/>
        <n v="19517.7"/>
        <n v="29670"/>
        <n v="303257.5"/>
        <n v="670477.5"/>
        <n v="360899"/>
        <n v="60200"/>
        <n v="2335.7600000000002"/>
        <n v="10396.540000000001"/>
        <n v="4472"/>
        <n v="31863"/>
        <n v="22484.7"/>
        <n v="30072.48"/>
        <n v="10420.619999999999"/>
        <n v="210700"/>
        <n v="22931.040000000001"/>
        <n v="354277"/>
        <n v="578522"/>
        <n v="169312.5"/>
        <n v="10423.200000000001"/>
        <n v="634680"/>
        <n v="69402"/>
        <n v="654288"/>
        <n v="17476.060000000001"/>
        <n v="655578"/>
        <n v="385581"/>
        <n v="229104"/>
        <n v="305730"/>
        <n v="25542"/>
        <n v="24123"/>
        <n v="124737.5"/>
        <n v="293993.75"/>
        <n v="115281.25"/>
        <n v="139230"/>
        <n v="19686"/>
        <n v="20578.5"/>
        <n v="15083.25"/>
        <n v="848172.5"/>
        <n v="32627.25"/>
        <n v="4539"/>
        <n v="14981.25"/>
        <n v="597082.5"/>
        <n v="639922.5"/>
        <n v="9322.7999999999993"/>
        <n v="4981"/>
        <n v="5100"/>
        <n v="36031.5"/>
        <n v="70443.75"/>
        <n v="656370"/>
        <n v="259037.5"/>
        <n v="14713.5"/>
        <n v="6273"/>
        <n v="313862.5"/>
        <n v="58650"/>
        <n v="631125"/>
        <n v="8139.6"/>
        <n v="4301.8500000000004"/>
        <n v="18421.2"/>
      </sharedItems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00000000022"/>
        <n v="11135.599999999999"/>
        <n v="1987.8999999999996"/>
        <n v="1233.2700000000004"/>
        <n v="2559.1800000000003"/>
        <n v="16499.04"/>
        <n v="104665"/>
        <n v="4880.9699999999993"/>
        <n v="12831.599999999999"/>
        <n v="1237.5"/>
        <n v="23718.48"/>
        <n v="6802.08"/>
        <n v="23218"/>
        <n v="120840.5"/>
        <n v="186407.5"/>
        <n v="10737.900000000001"/>
        <n v="108147"/>
        <n v="13479.899999999998"/>
        <n v="3531.8999999999996"/>
        <n v="117406"/>
        <n v="2486.25"/>
        <n v="7342.9000000000015"/>
        <n v="8670.5249999999978"/>
        <n v="2726.25"/>
        <n v="2951.25"/>
        <n v="6836.25"/>
        <n v="3622.9500000000007"/>
        <n v="136535"/>
        <n v="37867.200000000004"/>
        <n v="698.65999999999985"/>
        <n v="3461.25"/>
        <n v="4037.5599999999995"/>
        <n v="507.58999999999992"/>
        <n v="81612.75"/>
        <n v="46342"/>
        <n v="6540"/>
        <n v="17662.32"/>
        <n v="1556.8500000000004"/>
        <n v="1856.25"/>
        <n v="11344.2"/>
        <n v="9416"/>
        <n v="3989.7000000000007"/>
        <n v="236716"/>
        <n v="10003.92"/>
        <n v="15033.599999999999"/>
        <n v="6044.4"/>
        <n v="4150"/>
        <n v="11106.099999999999"/>
        <n v="40392"/>
        <n v="76032"/>
        <n v="1655"/>
        <n v="2022.5"/>
        <n v="5362.5"/>
        <n v="15636.599999999999"/>
        <n v="84304"/>
        <n v="6822.5"/>
        <n v="9047.5"/>
        <n v="3744.1800000000003"/>
        <n v="9241.7999999999993"/>
        <n v="9495.84"/>
        <n v="246178"/>
        <n v="238791"/>
        <n v="5222.3999999999996"/>
        <n v="22078"/>
        <n v="161020"/>
        <n v="11396"/>
        <n v="48444"/>
        <n v="5690"/>
        <n v="11865.599999999999"/>
        <n v="9033.5999999999985"/>
        <n v="5304.375"/>
        <n v="24252"/>
        <n v="28249"/>
        <n v="16822.080000000002"/>
        <n v="7845.1200000000008"/>
        <n v="3504.8199999999997"/>
        <n v="16424.64"/>
        <n v="973.76000000000022"/>
        <n v="142861.5"/>
        <n v="1608.75"/>
        <n v="2132.5"/>
        <n v="99814.5"/>
        <n v="2217.5"/>
        <n v="1962.5"/>
        <n v="11832.48"/>
        <n v="2511.25"/>
        <n v="8849.75"/>
        <n v="116604"/>
        <n v="16554.240000000002"/>
        <n v="76834"/>
        <n v="130539"/>
        <n v="7811.4"/>
        <n v="3150.3999999999996"/>
        <n v="36194.700000000004"/>
        <n v="21418.560000000001"/>
        <n v="8936.4000000000015"/>
        <n v="9948.4000000000015"/>
        <n v="6771.2000000000007"/>
        <n v="4903.7200000000012"/>
        <n v="76798"/>
        <n v="20824"/>
        <n v="8654.7999999999993"/>
        <n v="70642"/>
        <n v="0"/>
        <n v="7311.7199999999993"/>
        <n v="53751"/>
        <n v="110884"/>
        <n v="262200"/>
        <n v="959.19999999999982"/>
        <n v="19080.800000000003"/>
        <n v="9715.2000000000007"/>
        <n v="2952.3999999999996"/>
        <n v="6661.5999999999985"/>
        <n v="12481.8"/>
        <n v="24343.199999999997"/>
        <n v="165452"/>
        <n v="7378.32"/>
        <n v="26524"/>
        <n v="141740"/>
        <n v="144932"/>
        <n v="135128"/>
        <n v="1912.3500000000004"/>
        <n v="2263.7999999999993"/>
        <n v="3875.8500000000004"/>
        <n v="4436.8499999999985"/>
        <n v="20420.400000000001"/>
        <n v="2776.9500000000007"/>
        <n v="9433.2000000000007"/>
        <n v="15666"/>
        <n v="9374.4"/>
        <n v="14067"/>
        <n v="34685"/>
        <n v="1676.3999999999996"/>
        <n v="11861.75"/>
        <n v="940.5"/>
        <n v="4103.5499999999993"/>
        <n v="100376.25"/>
        <n v="-4533.75"/>
        <n v="52200"/>
        <n v="19672.8"/>
        <n v="38500"/>
        <n v="11727"/>
        <n v="-3740"/>
        <n v="-2981.25"/>
        <n v="56245"/>
        <n v="3839.5499999999993"/>
        <n v="43645"/>
        <n v="11135"/>
        <n v="89030"/>
        <n v="12501"/>
        <n v="-1076.25"/>
        <n v="-880"/>
        <n v="16218"/>
        <n v="23967"/>
        <n v="3524.3999999999996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00000000002"/>
        <n v="9834"/>
        <n v="11660.400000000001"/>
        <n v="4653.3599999999997"/>
        <n v="19035.72"/>
        <n v="8323"/>
        <n v="415.53999999999996"/>
        <n v="-2217.5"/>
        <n v="67620"/>
        <n v="100740"/>
        <n v="2216.7399999999998"/>
        <n v="22546.44"/>
        <n v="103224"/>
        <n v="50163"/>
        <n v="-2380"/>
        <n v="-6887.5"/>
        <n v="6273"/>
        <n v="2366.84"/>
        <n v="39072"/>
        <n v="143244"/>
        <n v="9882.4000000000015"/>
        <n v="77952"/>
        <n v="-4968.75"/>
        <n v="115851"/>
        <n v="15461.599999999999"/>
        <n v="9011.7999999999993"/>
        <n v="7146.2999999999993"/>
        <n v="4727.2999999999993"/>
        <n v="8808.7999999999993"/>
        <n v="2106.1399999999994"/>
        <n v="5932.32"/>
        <n v="15373.439999999999"/>
        <n v="15772.400000000001"/>
        <n v="19094.400000000001"/>
        <n v="19110.72"/>
        <n v="1556.8100000000004"/>
        <n v="4984.9000000000015"/>
        <n v="1713.8500000000004"/>
        <n v="825.97000000000025"/>
        <n v="2388.8199999999997"/>
        <n v="14186.16"/>
        <n v="18074.400000000001"/>
        <n v="115345.5"/>
        <n v="12992"/>
        <n v="63249"/>
        <n v="16993.599999999999"/>
        <n v="-9375"/>
        <n v="49358"/>
        <n v="-13173.75"/>
        <n v="8298.9500000000007"/>
        <n v="11577.449999999997"/>
        <n v="13201"/>
        <n v="32567"/>
        <n v="40716"/>
        <n v="22546.080000000002"/>
        <n v="3208.75"/>
        <n v="48111"/>
        <n v="5237.3999999999996"/>
        <n v="-7826.25"/>
        <n v="12220.599999999999"/>
        <n v="39788"/>
        <n v="5056.7999999999993"/>
        <n v="26475.120000000003"/>
        <n v="27811"/>
        <n v="79663"/>
        <n v="-6168.75"/>
        <n v="188378"/>
        <n v="-3727.5"/>
        <n v="9614.7999999999993"/>
        <n v="702.72000000000025"/>
        <n v="10768.8"/>
        <n v="370.07999999999993"/>
        <n v="-7700"/>
        <n v="1862"/>
        <n v="84444"/>
        <n v="9503.8000000000029"/>
        <n v="5947.2000000000007"/>
        <n v="5418"/>
        <n v="40612"/>
        <n v="33358"/>
        <n v="2701.7999999999993"/>
        <n v="-5570"/>
        <n v="1812.96"/>
        <n v="1576.8000000000002"/>
        <n v="11474.400000000001"/>
        <n v="63960"/>
        <n v="976.31999999999971"/>
        <n v="2301.1200000000008"/>
        <n v="3468.9599999999991"/>
        <n v="16245.599999999999"/>
        <n v="25141.199999999997"/>
        <n v="133052"/>
        <n v="2802.24"/>
        <n v="4807.92"/>
        <n v="4186.0800000000017"/>
        <n v="3366.7199999999993"/>
        <n v="10036"/>
        <n v="16510"/>
        <n v="35619"/>
        <n v="23622"/>
        <n v="26164"/>
        <n v="55484"/>
        <n v="21008"/>
        <n v="12768"/>
        <n v="11055"/>
        <n v="3666.5999999999995"/>
        <n v="25162"/>
        <n v="2906.64"/>
        <n v="87457.5"/>
        <n v="97461"/>
        <n v="7406"/>
        <n v="18382.32"/>
        <n v="-11606.25"/>
        <n v="2207.0699999999997"/>
        <n v="-17481.25"/>
        <n v="7682"/>
        <n v="58995"/>
        <n v="141394.5"/>
        <n v="13413.75"/>
        <n v="4478.5499999999993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599999999999"/>
        <n v="713.77"/>
        <n v="7978.5999999999985"/>
        <n v="8511.5999999999985"/>
        <n v="493.19999999999982"/>
        <n v="15578.64"/>
        <n v="9592.1999999999971"/>
        <n v="21992.400000000001"/>
        <n v="5951.3249999999989"/>
        <n v="2423.52"/>
        <n v="3010.8"/>
        <n v="3026.3999999999996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899999999998"/>
        <n v="16312"/>
        <n v="20077.2"/>
        <n v="38885"/>
        <n v="9200.64"/>
        <n v="3114.3599999999997"/>
        <n v="1286.3999999999999"/>
        <n v="3624.96"/>
        <n v="1942.17"/>
        <n v="7718.4"/>
        <n v="10718.324999999999"/>
        <n v="14876.16"/>
        <n v="40788"/>
        <n v="47787"/>
        <n v="-21358.75"/>
        <n v="5226"/>
        <n v="3328.380000000001"/>
        <n v="39449"/>
        <n v="23337.599999999999"/>
        <n v="7225.9500000000007"/>
        <n v="14841"/>
        <n v="8751.5999999999985"/>
        <n v="108381.75"/>
        <n v="30919.68"/>
        <n v="18627.840000000004"/>
        <n v="18673.199999999997"/>
        <n v="6646.4000000000015"/>
        <n v="23222"/>
        <n v="21879"/>
        <n v="2194.25"/>
        <n v="17716"/>
        <n v="2223.84"/>
        <n v="13317.119999999999"/>
        <n v="-4847.5"/>
        <n v="22893"/>
        <n v="-27693.75"/>
        <n v="20506.199999999997"/>
        <n v="-12538.75"/>
        <n v="-8286.25"/>
        <n v="467.40000000000009"/>
        <n v="42528"/>
        <n v="-24160"/>
        <n v="-21560"/>
        <n v="8604.8000000000029"/>
        <n v="2166.3999999999996"/>
        <n v="24822"/>
        <n v="2807.2000000000007"/>
        <n v="3171.4399999999987"/>
        <n v="13034"/>
        <n v="16604"/>
        <n v="48930"/>
        <n v="6878"/>
        <n v="76512"/>
        <n v="19026"/>
        <n v="30100"/>
        <n v="57456"/>
        <n v="1216"/>
        <n v="9370.7999999999993"/>
        <n v="66960"/>
        <n v="47328"/>
        <n v="15944.04"/>
        <n v="12398.399999999998"/>
        <n v="29904"/>
        <n v="-23870"/>
        <n v="12960"/>
        <n v="3968.9399999999987"/>
        <n v="8153.5999999999985"/>
        <n v="19163.399999999998"/>
        <n v="20117.16"/>
        <n v="11635.599999999999"/>
        <n v="1729.5599999999995"/>
        <n v="20873.16"/>
        <n v="7829.3499999999985"/>
        <n v="41073.5"/>
        <n v="79655"/>
        <n v="3270.8"/>
        <n v="43721.25"/>
        <n v="1414.8199999999997"/>
        <n v="4493.76"/>
        <n v="16687"/>
        <n v="9242.5999999999985"/>
        <n v="1567.9649999999992"/>
        <n v="8877"/>
        <n v="19543.400000000001"/>
        <n v="20039.199999999997"/>
        <n v="117124"/>
        <n v="-17808.75"/>
        <n v="4248.24"/>
        <n v="2938.6399999999994"/>
        <n v="4773.25"/>
        <n v="15886.5"/>
        <n v="7536.7199999999993"/>
        <n v="12192.375"/>
        <n v="1297.1000000000004"/>
        <n v="2013"/>
        <n v="3050.3999999999996"/>
        <n v="28655"/>
        <n v="-18663.75"/>
        <n v="13168.8"/>
        <n v="18568.800000000003"/>
        <n v="12549.599999999999"/>
        <n v="3055.9199999999983"/>
        <n v="285.59999999999991"/>
        <n v="298.86000000000013"/>
        <n v="806.19999999999982"/>
        <n v="17481.599999999999"/>
        <n v="5124.2999999999993"/>
        <n v="10196.76"/>
        <n v="14749.8"/>
        <n v="6408"/>
        <n v="-12787.5"/>
        <n v="11968"/>
        <n v="8080"/>
        <n v="4387.7000000000007"/>
        <n v="6670"/>
        <n v="-35262.5"/>
        <n v="91327.5"/>
        <n v="49159"/>
        <n v="8200"/>
        <n v="395.76000000000022"/>
        <n v="1761.5400000000009"/>
        <n v="1872"/>
        <n v="7163"/>
        <n v="5054.7000000000007"/>
        <n v="21330.48"/>
        <n v="1765.619999999999"/>
        <n v="28700"/>
        <n v="16265.04"/>
        <n v="48257"/>
        <n v="78802"/>
        <n v="-19687.5"/>
        <n v="4363.2000000000007"/>
        <n v="19680"/>
        <n v="2152"/>
        <n v="20288"/>
        <n v="2961.0600000000013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7999999999993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000000000004"/>
        <n v="686.85000000000014"/>
        <n v="13003.2"/>
      </sharedItems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 count="2">
        <s v="2014"/>
        <s v="2013"/>
      </sharedItems>
    </cacheField>
    <cacheField name="Coluna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8781172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s v="Carretera"/>
    <s v="None"/>
    <n v="1618.5"/>
    <n v="3"/>
    <n v="20"/>
    <n v="32370"/>
    <n v="0"/>
    <x v="0"/>
    <n v="16185"/>
    <x v="0"/>
    <d v="2014-01-01T00:00:00"/>
    <n v="1"/>
    <s v="January"/>
    <x v="0"/>
    <m/>
  </r>
  <r>
    <x v="0"/>
    <x v="1"/>
    <s v="Carretera"/>
    <s v="None"/>
    <n v="1321"/>
    <n v="3"/>
    <n v="20"/>
    <n v="26420"/>
    <n v="0"/>
    <x v="1"/>
    <n v="13210"/>
    <x v="1"/>
    <d v="2014-01-01T00:00:00"/>
    <n v="1"/>
    <s v="January"/>
    <x v="0"/>
    <m/>
  </r>
  <r>
    <x v="1"/>
    <x v="2"/>
    <s v="Carretera"/>
    <s v="None"/>
    <n v="2178"/>
    <n v="3"/>
    <n v="15"/>
    <n v="32670"/>
    <n v="0"/>
    <x v="2"/>
    <n v="21780"/>
    <x v="2"/>
    <d v="2014-06-01T00:00:00"/>
    <n v="6"/>
    <s v="June"/>
    <x v="0"/>
    <m/>
  </r>
  <r>
    <x v="1"/>
    <x v="1"/>
    <s v="Carretera"/>
    <s v="None"/>
    <n v="888"/>
    <n v="3"/>
    <n v="15"/>
    <n v="13320"/>
    <n v="0"/>
    <x v="3"/>
    <n v="8880"/>
    <x v="3"/>
    <d v="2014-06-01T00:00:00"/>
    <n v="6"/>
    <s v="June"/>
    <x v="0"/>
    <m/>
  </r>
  <r>
    <x v="1"/>
    <x v="3"/>
    <s v="Carretera"/>
    <s v="None"/>
    <n v="2470"/>
    <n v="3"/>
    <n v="15"/>
    <n v="37050"/>
    <n v="0"/>
    <x v="4"/>
    <n v="24700"/>
    <x v="4"/>
    <d v="2014-06-01T00:00:00"/>
    <n v="6"/>
    <s v="June"/>
    <x v="0"/>
    <m/>
  </r>
  <r>
    <x v="0"/>
    <x v="1"/>
    <s v="Carretera"/>
    <s v="None"/>
    <n v="1513"/>
    <n v="3"/>
    <n v="350"/>
    <n v="529550"/>
    <n v="0"/>
    <x v="5"/>
    <n v="393380"/>
    <x v="5"/>
    <d v="2014-12-01T00:00:00"/>
    <n v="12"/>
    <s v="December"/>
    <x v="0"/>
    <m/>
  </r>
  <r>
    <x v="1"/>
    <x v="1"/>
    <s v="Montana"/>
    <s v="None"/>
    <n v="921"/>
    <n v="5"/>
    <n v="15"/>
    <n v="13815"/>
    <n v="0"/>
    <x v="6"/>
    <n v="9210"/>
    <x v="6"/>
    <d v="2014-03-01T00:00:00"/>
    <n v="3"/>
    <s v="March"/>
    <x v="0"/>
    <m/>
  </r>
  <r>
    <x v="2"/>
    <x v="0"/>
    <s v="Montana"/>
    <s v="None"/>
    <n v="2518"/>
    <n v="5"/>
    <n v="12"/>
    <n v="30216"/>
    <n v="0"/>
    <x v="7"/>
    <n v="7554"/>
    <x v="7"/>
    <d v="2014-06-01T00:00:00"/>
    <n v="6"/>
    <s v="June"/>
    <x v="0"/>
    <m/>
  </r>
  <r>
    <x v="0"/>
    <x v="2"/>
    <s v="Montana"/>
    <s v="None"/>
    <n v="1899"/>
    <n v="5"/>
    <n v="20"/>
    <n v="37980"/>
    <n v="0"/>
    <x v="8"/>
    <n v="18990"/>
    <x v="8"/>
    <d v="2014-06-01T00:00:00"/>
    <n v="6"/>
    <s v="June"/>
    <x v="0"/>
    <m/>
  </r>
  <r>
    <x v="2"/>
    <x v="1"/>
    <s v="Montana"/>
    <s v="None"/>
    <n v="1545"/>
    <n v="5"/>
    <n v="12"/>
    <n v="18540"/>
    <n v="0"/>
    <x v="9"/>
    <n v="4635"/>
    <x v="9"/>
    <d v="2014-06-01T00:00:00"/>
    <n v="6"/>
    <s v="June"/>
    <x v="0"/>
    <m/>
  </r>
  <r>
    <x v="1"/>
    <x v="3"/>
    <s v="Montana"/>
    <s v="None"/>
    <n v="2470"/>
    <n v="5"/>
    <n v="15"/>
    <n v="37050"/>
    <n v="0"/>
    <x v="4"/>
    <n v="24700"/>
    <x v="4"/>
    <d v="2014-06-01T00:00:00"/>
    <n v="6"/>
    <s v="June"/>
    <x v="0"/>
    <m/>
  </r>
  <r>
    <x v="3"/>
    <x v="0"/>
    <s v="Montana"/>
    <s v="None"/>
    <n v="2665.5"/>
    <n v="5"/>
    <n v="125"/>
    <n v="333187.5"/>
    <n v="0"/>
    <x v="10"/>
    <n v="319860"/>
    <x v="10"/>
    <d v="2014-07-01T00:00:00"/>
    <n v="7"/>
    <s v="July"/>
    <x v="0"/>
    <m/>
  </r>
  <r>
    <x v="4"/>
    <x v="3"/>
    <s v="Montana"/>
    <s v="None"/>
    <n v="958"/>
    <n v="5"/>
    <n v="300"/>
    <n v="287400"/>
    <n v="0"/>
    <x v="11"/>
    <n v="239500"/>
    <x v="11"/>
    <d v="2014-08-01T00:00:00"/>
    <n v="8"/>
    <s v="August"/>
    <x v="0"/>
    <m/>
  </r>
  <r>
    <x v="0"/>
    <x v="1"/>
    <s v="Montana"/>
    <s v="None"/>
    <n v="2146"/>
    <n v="5"/>
    <n v="7"/>
    <n v="15022"/>
    <n v="0"/>
    <x v="12"/>
    <n v="10730"/>
    <x v="12"/>
    <d v="2014-09-01T00:00:00"/>
    <n v="9"/>
    <s v="September"/>
    <x v="0"/>
    <m/>
  </r>
  <r>
    <x v="3"/>
    <x v="0"/>
    <s v="Montana"/>
    <s v="None"/>
    <n v="345"/>
    <n v="5"/>
    <n v="125"/>
    <n v="43125"/>
    <n v="0"/>
    <x v="13"/>
    <n v="41400"/>
    <x v="13"/>
    <d v="2013-10-01T00:00:00"/>
    <n v="10"/>
    <s v="October"/>
    <x v="1"/>
    <m/>
  </r>
  <r>
    <x v="1"/>
    <x v="4"/>
    <s v="Montana"/>
    <s v="None"/>
    <n v="615"/>
    <n v="5"/>
    <n v="15"/>
    <n v="9225"/>
    <n v="0"/>
    <x v="14"/>
    <n v="6150"/>
    <x v="14"/>
    <d v="2014-12-01T00:00:00"/>
    <n v="12"/>
    <s v="December"/>
    <x v="0"/>
    <m/>
  </r>
  <r>
    <x v="0"/>
    <x v="0"/>
    <s v="Paseo"/>
    <s v="None"/>
    <n v="292"/>
    <n v="10"/>
    <n v="20"/>
    <n v="5840"/>
    <n v="0"/>
    <x v="15"/>
    <n v="2920"/>
    <x v="15"/>
    <d v="2014-02-01T00:00:00"/>
    <n v="2"/>
    <s v="February"/>
    <x v="0"/>
    <m/>
  </r>
  <r>
    <x v="1"/>
    <x v="3"/>
    <s v="Paseo"/>
    <s v="None"/>
    <n v="974"/>
    <n v="10"/>
    <n v="15"/>
    <n v="14610"/>
    <n v="0"/>
    <x v="16"/>
    <n v="9740"/>
    <x v="16"/>
    <d v="2014-02-01T00:00:00"/>
    <n v="2"/>
    <s v="February"/>
    <x v="0"/>
    <m/>
  </r>
  <r>
    <x v="2"/>
    <x v="0"/>
    <s v="Paseo"/>
    <s v="None"/>
    <n v="2518"/>
    <n v="10"/>
    <n v="12"/>
    <n v="30216"/>
    <n v="0"/>
    <x v="7"/>
    <n v="7554"/>
    <x v="7"/>
    <d v="2014-06-01T00:00:00"/>
    <n v="6"/>
    <s v="June"/>
    <x v="0"/>
    <m/>
  </r>
  <r>
    <x v="0"/>
    <x v="1"/>
    <s v="Paseo"/>
    <s v="None"/>
    <n v="1006"/>
    <n v="10"/>
    <n v="350"/>
    <n v="352100"/>
    <n v="0"/>
    <x v="17"/>
    <n v="261560"/>
    <x v="17"/>
    <d v="2014-06-01T00:00:00"/>
    <n v="6"/>
    <s v="June"/>
    <x v="0"/>
    <m/>
  </r>
  <r>
    <x v="2"/>
    <x v="1"/>
    <s v="Paseo"/>
    <s v="None"/>
    <n v="367"/>
    <n v="10"/>
    <n v="12"/>
    <n v="4404"/>
    <n v="0"/>
    <x v="18"/>
    <n v="1101"/>
    <x v="18"/>
    <d v="2014-07-01T00:00:00"/>
    <n v="7"/>
    <s v="July"/>
    <x v="0"/>
    <m/>
  </r>
  <r>
    <x v="0"/>
    <x v="3"/>
    <s v="Paseo"/>
    <s v="None"/>
    <n v="883"/>
    <n v="10"/>
    <n v="7"/>
    <n v="6181"/>
    <n v="0"/>
    <x v="19"/>
    <n v="4415"/>
    <x v="19"/>
    <d v="2014-08-01T00:00:00"/>
    <n v="8"/>
    <s v="August"/>
    <x v="0"/>
    <m/>
  </r>
  <r>
    <x v="1"/>
    <x v="2"/>
    <s v="Paseo"/>
    <s v="None"/>
    <n v="549"/>
    <n v="10"/>
    <n v="15"/>
    <n v="8235"/>
    <n v="0"/>
    <x v="20"/>
    <n v="5490"/>
    <x v="20"/>
    <d v="2013-09-01T00:00:00"/>
    <n v="9"/>
    <s v="September"/>
    <x v="1"/>
    <m/>
  </r>
  <r>
    <x v="4"/>
    <x v="3"/>
    <s v="Paseo"/>
    <s v="None"/>
    <n v="788"/>
    <n v="10"/>
    <n v="300"/>
    <n v="236400"/>
    <n v="0"/>
    <x v="21"/>
    <n v="197000"/>
    <x v="21"/>
    <d v="2013-09-01T00:00:00"/>
    <n v="9"/>
    <s v="September"/>
    <x v="1"/>
    <m/>
  </r>
  <r>
    <x v="1"/>
    <x v="3"/>
    <s v="Paseo"/>
    <s v="None"/>
    <n v="2472"/>
    <n v="10"/>
    <n v="15"/>
    <n v="37080"/>
    <n v="0"/>
    <x v="22"/>
    <n v="24720"/>
    <x v="22"/>
    <d v="2014-09-01T00:00:00"/>
    <n v="9"/>
    <s v="September"/>
    <x v="0"/>
    <m/>
  </r>
  <r>
    <x v="0"/>
    <x v="4"/>
    <s v="Paseo"/>
    <s v="None"/>
    <n v="1143"/>
    <n v="10"/>
    <n v="7"/>
    <n v="8001"/>
    <n v="0"/>
    <x v="23"/>
    <n v="5715"/>
    <x v="23"/>
    <d v="2014-10-01T00:00:00"/>
    <n v="10"/>
    <s v="October"/>
    <x v="0"/>
    <m/>
  </r>
  <r>
    <x v="0"/>
    <x v="0"/>
    <s v="Paseo"/>
    <s v="None"/>
    <n v="1725"/>
    <n v="10"/>
    <n v="350"/>
    <n v="603750"/>
    <n v="0"/>
    <x v="24"/>
    <n v="448500"/>
    <x v="24"/>
    <d v="2013-11-01T00:00:00"/>
    <n v="11"/>
    <s v="November"/>
    <x v="1"/>
    <m/>
  </r>
  <r>
    <x v="2"/>
    <x v="4"/>
    <s v="Paseo"/>
    <s v="None"/>
    <n v="912"/>
    <n v="10"/>
    <n v="12"/>
    <n v="10944"/>
    <n v="0"/>
    <x v="25"/>
    <n v="2736"/>
    <x v="25"/>
    <d v="2013-11-01T00:00:00"/>
    <n v="11"/>
    <s v="November"/>
    <x v="1"/>
    <m/>
  </r>
  <r>
    <x v="1"/>
    <x v="0"/>
    <s v="Paseo"/>
    <s v="None"/>
    <n v="2152"/>
    <n v="10"/>
    <n v="15"/>
    <n v="32280"/>
    <n v="0"/>
    <x v="26"/>
    <n v="21520"/>
    <x v="26"/>
    <d v="2013-12-01T00:00:00"/>
    <n v="12"/>
    <s v="December"/>
    <x v="1"/>
    <m/>
  </r>
  <r>
    <x v="0"/>
    <x v="0"/>
    <s v="Paseo"/>
    <s v="None"/>
    <n v="1817"/>
    <n v="10"/>
    <n v="20"/>
    <n v="36340"/>
    <n v="0"/>
    <x v="27"/>
    <n v="18170"/>
    <x v="27"/>
    <d v="2014-12-01T00:00:00"/>
    <n v="12"/>
    <s v="December"/>
    <x v="0"/>
    <m/>
  </r>
  <r>
    <x v="0"/>
    <x v="1"/>
    <s v="Paseo"/>
    <s v="None"/>
    <n v="1513"/>
    <n v="10"/>
    <n v="350"/>
    <n v="529550"/>
    <n v="0"/>
    <x v="5"/>
    <n v="393380"/>
    <x v="5"/>
    <d v="2014-12-01T00:00:00"/>
    <n v="12"/>
    <s v="December"/>
    <x v="0"/>
    <m/>
  </r>
  <r>
    <x v="0"/>
    <x v="3"/>
    <s v="Velo"/>
    <s v="None"/>
    <n v="1493"/>
    <n v="120"/>
    <n v="7"/>
    <n v="10451"/>
    <n v="0"/>
    <x v="28"/>
    <n v="7465"/>
    <x v="28"/>
    <d v="2014-01-01T00:00:00"/>
    <n v="1"/>
    <s v="January"/>
    <x v="0"/>
    <m/>
  </r>
  <r>
    <x v="3"/>
    <x v="2"/>
    <s v="Velo"/>
    <s v="None"/>
    <n v="1804"/>
    <n v="120"/>
    <n v="125"/>
    <n v="225500"/>
    <n v="0"/>
    <x v="29"/>
    <n v="216480"/>
    <x v="29"/>
    <d v="2014-02-01T00:00:00"/>
    <n v="2"/>
    <s v="February"/>
    <x v="0"/>
    <m/>
  </r>
  <r>
    <x v="2"/>
    <x v="1"/>
    <s v="Velo"/>
    <s v="None"/>
    <n v="2161"/>
    <n v="120"/>
    <n v="12"/>
    <n v="25932"/>
    <n v="0"/>
    <x v="30"/>
    <n v="6483"/>
    <x v="30"/>
    <d v="2014-03-01T00:00:00"/>
    <n v="3"/>
    <s v="March"/>
    <x v="0"/>
    <m/>
  </r>
  <r>
    <x v="0"/>
    <x v="1"/>
    <s v="Velo"/>
    <s v="None"/>
    <n v="1006"/>
    <n v="120"/>
    <n v="350"/>
    <n v="352100"/>
    <n v="0"/>
    <x v="17"/>
    <n v="261560"/>
    <x v="17"/>
    <d v="2014-06-01T00:00:00"/>
    <n v="6"/>
    <s v="June"/>
    <x v="0"/>
    <m/>
  </r>
  <r>
    <x v="2"/>
    <x v="1"/>
    <s v="Velo"/>
    <s v="None"/>
    <n v="1545"/>
    <n v="120"/>
    <n v="12"/>
    <n v="18540"/>
    <n v="0"/>
    <x v="9"/>
    <n v="4635"/>
    <x v="9"/>
    <d v="2014-06-01T00:00:00"/>
    <n v="6"/>
    <s v="June"/>
    <x v="0"/>
    <m/>
  </r>
  <r>
    <x v="3"/>
    <x v="4"/>
    <s v="Velo"/>
    <s v="None"/>
    <n v="2821"/>
    <n v="120"/>
    <n v="125"/>
    <n v="352625"/>
    <n v="0"/>
    <x v="31"/>
    <n v="338520"/>
    <x v="31"/>
    <d v="2014-08-01T00:00:00"/>
    <n v="8"/>
    <s v="August"/>
    <x v="0"/>
    <m/>
  </r>
  <r>
    <x v="3"/>
    <x v="0"/>
    <s v="Velo"/>
    <s v="None"/>
    <n v="345"/>
    <n v="120"/>
    <n v="125"/>
    <n v="43125"/>
    <n v="0"/>
    <x v="13"/>
    <n v="41400"/>
    <x v="13"/>
    <d v="2013-10-01T00:00:00"/>
    <n v="10"/>
    <s v="October"/>
    <x v="1"/>
    <m/>
  </r>
  <r>
    <x v="4"/>
    <x v="0"/>
    <s v="VTT"/>
    <s v="None"/>
    <n v="2001"/>
    <n v="250"/>
    <n v="300"/>
    <n v="600300"/>
    <n v="0"/>
    <x v="32"/>
    <n v="500250"/>
    <x v="32"/>
    <d v="2014-02-01T00:00:00"/>
    <n v="2"/>
    <s v="February"/>
    <x v="0"/>
    <m/>
  </r>
  <r>
    <x v="2"/>
    <x v="1"/>
    <s v="VTT"/>
    <s v="None"/>
    <n v="2838"/>
    <n v="250"/>
    <n v="12"/>
    <n v="34056"/>
    <n v="0"/>
    <x v="33"/>
    <n v="8514"/>
    <x v="33"/>
    <d v="2014-04-01T00:00:00"/>
    <n v="4"/>
    <s v="April"/>
    <x v="0"/>
    <m/>
  </r>
  <r>
    <x v="1"/>
    <x v="2"/>
    <s v="VTT"/>
    <s v="None"/>
    <n v="2178"/>
    <n v="250"/>
    <n v="15"/>
    <n v="32670"/>
    <n v="0"/>
    <x v="2"/>
    <n v="21780"/>
    <x v="2"/>
    <d v="2014-06-01T00:00:00"/>
    <n v="6"/>
    <s v="June"/>
    <x v="0"/>
    <m/>
  </r>
  <r>
    <x v="1"/>
    <x v="1"/>
    <s v="VTT"/>
    <s v="None"/>
    <n v="888"/>
    <n v="250"/>
    <n v="15"/>
    <n v="13320"/>
    <n v="0"/>
    <x v="3"/>
    <n v="8880"/>
    <x v="3"/>
    <d v="2014-06-01T00:00:00"/>
    <n v="6"/>
    <s v="June"/>
    <x v="0"/>
    <m/>
  </r>
  <r>
    <x v="0"/>
    <x v="2"/>
    <s v="VTT"/>
    <s v="None"/>
    <n v="1527"/>
    <n v="250"/>
    <n v="350"/>
    <n v="534450"/>
    <n v="0"/>
    <x v="34"/>
    <n v="397020"/>
    <x v="34"/>
    <d v="2013-09-01T00:00:00"/>
    <n v="9"/>
    <s v="September"/>
    <x v="1"/>
    <m/>
  </r>
  <r>
    <x v="4"/>
    <x v="2"/>
    <s v="VTT"/>
    <s v="None"/>
    <n v="2151"/>
    <n v="250"/>
    <n v="300"/>
    <n v="645300"/>
    <n v="0"/>
    <x v="35"/>
    <n v="537750"/>
    <x v="35"/>
    <d v="2014-09-01T00:00:00"/>
    <n v="9"/>
    <s v="September"/>
    <x v="0"/>
    <m/>
  </r>
  <r>
    <x v="0"/>
    <x v="0"/>
    <s v="VTT"/>
    <s v="None"/>
    <n v="1817"/>
    <n v="250"/>
    <n v="20"/>
    <n v="36340"/>
    <n v="0"/>
    <x v="27"/>
    <n v="18170"/>
    <x v="27"/>
    <d v="2014-12-01T00:00:00"/>
    <n v="12"/>
    <s v="December"/>
    <x v="0"/>
    <m/>
  </r>
  <r>
    <x v="0"/>
    <x v="2"/>
    <s v="Amarilla"/>
    <s v="None"/>
    <n v="2750"/>
    <n v="260"/>
    <n v="350"/>
    <n v="962500"/>
    <n v="0"/>
    <x v="36"/>
    <n v="715000"/>
    <x v="36"/>
    <d v="2014-02-01T00:00:00"/>
    <n v="2"/>
    <s v="February"/>
    <x v="0"/>
    <m/>
  </r>
  <r>
    <x v="2"/>
    <x v="4"/>
    <s v="Amarilla"/>
    <s v="None"/>
    <n v="1953"/>
    <n v="260"/>
    <n v="12"/>
    <n v="23436"/>
    <n v="0"/>
    <x v="37"/>
    <n v="5859"/>
    <x v="37"/>
    <d v="2014-04-01T00:00:00"/>
    <n v="4"/>
    <s v="April"/>
    <x v="0"/>
    <m/>
  </r>
  <r>
    <x v="3"/>
    <x v="1"/>
    <s v="Amarilla"/>
    <s v="None"/>
    <n v="4219.5"/>
    <n v="260"/>
    <n v="125"/>
    <n v="527437.5"/>
    <n v="0"/>
    <x v="38"/>
    <n v="506340"/>
    <x v="38"/>
    <d v="2014-04-01T00:00:00"/>
    <n v="4"/>
    <s v="April"/>
    <x v="0"/>
    <m/>
  </r>
  <r>
    <x v="0"/>
    <x v="2"/>
    <s v="Amarilla"/>
    <s v="None"/>
    <n v="1899"/>
    <n v="260"/>
    <n v="20"/>
    <n v="37980"/>
    <n v="0"/>
    <x v="8"/>
    <n v="18990"/>
    <x v="8"/>
    <d v="2014-06-01T00:00:00"/>
    <n v="6"/>
    <s v="June"/>
    <x v="0"/>
    <m/>
  </r>
  <r>
    <x v="0"/>
    <x v="1"/>
    <s v="Amarilla"/>
    <s v="None"/>
    <n v="1686"/>
    <n v="260"/>
    <n v="7"/>
    <n v="11802"/>
    <n v="0"/>
    <x v="39"/>
    <n v="8430"/>
    <x v="39"/>
    <d v="2014-07-01T00:00:00"/>
    <n v="7"/>
    <s v="July"/>
    <x v="0"/>
    <m/>
  </r>
  <r>
    <x v="2"/>
    <x v="4"/>
    <s v="Amarilla"/>
    <s v="None"/>
    <n v="2141"/>
    <n v="260"/>
    <n v="12"/>
    <n v="25692"/>
    <n v="0"/>
    <x v="40"/>
    <n v="6423"/>
    <x v="40"/>
    <d v="2014-08-01T00:00:00"/>
    <n v="8"/>
    <s v="August"/>
    <x v="0"/>
    <m/>
  </r>
  <r>
    <x v="0"/>
    <x v="4"/>
    <s v="Amarilla"/>
    <s v="None"/>
    <n v="1143"/>
    <n v="260"/>
    <n v="7"/>
    <n v="8001"/>
    <n v="0"/>
    <x v="23"/>
    <n v="5715"/>
    <x v="23"/>
    <d v="2014-10-01T00:00:00"/>
    <n v="10"/>
    <s v="October"/>
    <x v="0"/>
    <m/>
  </r>
  <r>
    <x v="1"/>
    <x v="4"/>
    <s v="Amarilla"/>
    <s v="None"/>
    <n v="615"/>
    <n v="260"/>
    <n v="15"/>
    <n v="9225"/>
    <n v="0"/>
    <x v="14"/>
    <n v="6150"/>
    <x v="14"/>
    <d v="2014-12-01T00:00:00"/>
    <n v="12"/>
    <s v="December"/>
    <x v="0"/>
    <m/>
  </r>
  <r>
    <x v="0"/>
    <x v="2"/>
    <s v="Paseo"/>
    <s v="Low"/>
    <n v="3945"/>
    <n v="10"/>
    <n v="7"/>
    <n v="27615"/>
    <n v="276.14999999999998"/>
    <x v="41"/>
    <n v="19725"/>
    <x v="41"/>
    <d v="2014-01-01T00:00:00"/>
    <n v="1"/>
    <s v="January"/>
    <x v="0"/>
    <m/>
  </r>
  <r>
    <x v="1"/>
    <x v="2"/>
    <s v="Paseo"/>
    <s v="Low"/>
    <n v="2296"/>
    <n v="10"/>
    <n v="15"/>
    <n v="34440"/>
    <n v="344.4"/>
    <x v="42"/>
    <n v="22960"/>
    <x v="42"/>
    <d v="2014-02-01T00:00:00"/>
    <n v="2"/>
    <s v="February"/>
    <x v="0"/>
    <m/>
  </r>
  <r>
    <x v="0"/>
    <x v="2"/>
    <s v="Paseo"/>
    <s v="Low"/>
    <n v="1030"/>
    <n v="10"/>
    <n v="7"/>
    <n v="7210"/>
    <n v="72.099999999999994"/>
    <x v="43"/>
    <n v="5150"/>
    <x v="43"/>
    <d v="2014-05-01T00:00:00"/>
    <n v="5"/>
    <s v="May"/>
    <x v="0"/>
    <m/>
  </r>
  <r>
    <x v="0"/>
    <x v="2"/>
    <s v="Velo"/>
    <s v="Low"/>
    <n v="639"/>
    <n v="120"/>
    <n v="7"/>
    <n v="4473"/>
    <n v="44.73"/>
    <x v="44"/>
    <n v="3195"/>
    <x v="44"/>
    <d v="2014-11-01T00:00:00"/>
    <n v="11"/>
    <s v="November"/>
    <x v="0"/>
    <m/>
  </r>
  <r>
    <x v="0"/>
    <x v="0"/>
    <s v="VTT"/>
    <s v="Low"/>
    <n v="1326"/>
    <n v="250"/>
    <n v="7"/>
    <n v="9282"/>
    <n v="92.82"/>
    <x v="45"/>
    <n v="6630"/>
    <x v="45"/>
    <d v="2014-03-01T00:00:00"/>
    <n v="3"/>
    <s v="March"/>
    <x v="0"/>
    <m/>
  </r>
  <r>
    <x v="2"/>
    <x v="4"/>
    <s v="Carretera"/>
    <s v="Low"/>
    <n v="1858"/>
    <n v="3"/>
    <n v="12"/>
    <n v="22296"/>
    <n v="222.96"/>
    <x v="46"/>
    <n v="5574"/>
    <x v="46"/>
    <d v="2014-02-01T00:00:00"/>
    <n v="2"/>
    <s v="February"/>
    <x v="0"/>
    <m/>
  </r>
  <r>
    <x v="0"/>
    <x v="3"/>
    <s v="Carretera"/>
    <s v="Low"/>
    <n v="1210"/>
    <n v="3"/>
    <n v="350"/>
    <n v="423500"/>
    <n v="4235"/>
    <x v="47"/>
    <n v="314600"/>
    <x v="47"/>
    <d v="2014-03-01T00:00:00"/>
    <n v="3"/>
    <s v="March"/>
    <x v="0"/>
    <m/>
  </r>
  <r>
    <x v="0"/>
    <x v="4"/>
    <s v="Carretera"/>
    <s v="Low"/>
    <n v="2529"/>
    <n v="3"/>
    <n v="7"/>
    <n v="17703"/>
    <n v="177.03"/>
    <x v="48"/>
    <n v="12645"/>
    <x v="48"/>
    <d v="2014-07-01T00:00:00"/>
    <n v="7"/>
    <s v="July"/>
    <x v="0"/>
    <m/>
  </r>
  <r>
    <x v="2"/>
    <x v="0"/>
    <s v="Carretera"/>
    <s v="Low"/>
    <n v="1445"/>
    <n v="3"/>
    <n v="12"/>
    <n v="17340"/>
    <n v="173.4"/>
    <x v="49"/>
    <n v="4335"/>
    <x v="49"/>
    <d v="2014-09-01T00:00:00"/>
    <n v="9"/>
    <s v="September"/>
    <x v="0"/>
    <m/>
  </r>
  <r>
    <x v="3"/>
    <x v="4"/>
    <s v="Carretera"/>
    <s v="Low"/>
    <n v="330"/>
    <n v="3"/>
    <n v="125"/>
    <n v="41250"/>
    <n v="412.5"/>
    <x v="50"/>
    <n v="39600"/>
    <x v="50"/>
    <d v="2013-09-01T00:00:00"/>
    <n v="9"/>
    <s v="September"/>
    <x v="1"/>
    <m/>
  </r>
  <r>
    <x v="2"/>
    <x v="2"/>
    <s v="Carretera"/>
    <s v="Low"/>
    <n v="2671"/>
    <n v="3"/>
    <n v="12"/>
    <n v="32052"/>
    <n v="320.52"/>
    <x v="51"/>
    <n v="8013"/>
    <x v="51"/>
    <d v="2014-09-01T00:00:00"/>
    <n v="9"/>
    <s v="September"/>
    <x v="0"/>
    <m/>
  </r>
  <r>
    <x v="2"/>
    <x v="1"/>
    <s v="Carretera"/>
    <s v="Low"/>
    <n v="766"/>
    <n v="3"/>
    <n v="12"/>
    <n v="9192"/>
    <n v="91.92"/>
    <x v="52"/>
    <n v="2298"/>
    <x v="52"/>
    <d v="2013-10-01T00:00:00"/>
    <n v="10"/>
    <s v="October"/>
    <x v="1"/>
    <m/>
  </r>
  <r>
    <x v="4"/>
    <x v="3"/>
    <s v="Carretera"/>
    <s v="Low"/>
    <n v="494"/>
    <n v="3"/>
    <n v="300"/>
    <n v="148200"/>
    <n v="1482"/>
    <x v="53"/>
    <n v="123500"/>
    <x v="53"/>
    <d v="2013-10-01T00:00:00"/>
    <n v="10"/>
    <s v="October"/>
    <x v="1"/>
    <m/>
  </r>
  <r>
    <x v="0"/>
    <x v="3"/>
    <s v="Carretera"/>
    <s v="Low"/>
    <n v="1397"/>
    <n v="3"/>
    <n v="350"/>
    <n v="488950"/>
    <n v="4889.5"/>
    <x v="54"/>
    <n v="363220"/>
    <x v="54"/>
    <d v="2014-10-01T00:00:00"/>
    <n v="10"/>
    <s v="October"/>
    <x v="0"/>
    <m/>
  </r>
  <r>
    <x v="0"/>
    <x v="2"/>
    <s v="Carretera"/>
    <s v="Low"/>
    <n v="2155"/>
    <n v="3"/>
    <n v="350"/>
    <n v="754250"/>
    <n v="7542.5"/>
    <x v="55"/>
    <n v="560300"/>
    <x v="55"/>
    <d v="2014-12-01T00:00:00"/>
    <n v="12"/>
    <s v="December"/>
    <x v="0"/>
    <m/>
  </r>
  <r>
    <x v="1"/>
    <x v="3"/>
    <s v="Montana"/>
    <s v="Low"/>
    <n v="2214"/>
    <n v="5"/>
    <n v="15"/>
    <n v="33210"/>
    <n v="332.1"/>
    <x v="56"/>
    <n v="22140"/>
    <x v="56"/>
    <d v="2014-03-01T00:00:00"/>
    <n v="3"/>
    <s v="March"/>
    <x v="0"/>
    <m/>
  </r>
  <r>
    <x v="4"/>
    <x v="4"/>
    <s v="Montana"/>
    <s v="Low"/>
    <n v="2301"/>
    <n v="5"/>
    <n v="300"/>
    <n v="690300"/>
    <n v="6903"/>
    <x v="57"/>
    <n v="575250"/>
    <x v="57"/>
    <d v="2014-04-01T00:00:00"/>
    <n v="4"/>
    <s v="April"/>
    <x v="0"/>
    <m/>
  </r>
  <r>
    <x v="0"/>
    <x v="2"/>
    <s v="Montana"/>
    <s v="Low"/>
    <n v="1375.5"/>
    <n v="5"/>
    <n v="20"/>
    <n v="27510"/>
    <n v="275.10000000000002"/>
    <x v="58"/>
    <n v="13755"/>
    <x v="58"/>
    <d v="2014-07-01T00:00:00"/>
    <n v="7"/>
    <s v="July"/>
    <x v="0"/>
    <m/>
  </r>
  <r>
    <x v="0"/>
    <x v="0"/>
    <s v="Montana"/>
    <s v="Low"/>
    <n v="1830"/>
    <n v="5"/>
    <n v="7"/>
    <n v="12810"/>
    <n v="128.1"/>
    <x v="59"/>
    <n v="9150"/>
    <x v="59"/>
    <d v="2014-08-01T00:00:00"/>
    <n v="8"/>
    <s v="August"/>
    <x v="0"/>
    <m/>
  </r>
  <r>
    <x v="4"/>
    <x v="4"/>
    <s v="Montana"/>
    <s v="Low"/>
    <n v="2498"/>
    <n v="5"/>
    <n v="300"/>
    <n v="749400"/>
    <n v="7494"/>
    <x v="60"/>
    <n v="624500"/>
    <x v="60"/>
    <d v="2013-09-01T00:00:00"/>
    <n v="9"/>
    <s v="September"/>
    <x v="1"/>
    <m/>
  </r>
  <r>
    <x v="3"/>
    <x v="4"/>
    <s v="Montana"/>
    <s v="Low"/>
    <n v="663"/>
    <n v="5"/>
    <n v="125"/>
    <n v="82875"/>
    <n v="828.75"/>
    <x v="61"/>
    <n v="79560"/>
    <x v="61"/>
    <d v="2013-10-01T00:00:00"/>
    <n v="10"/>
    <s v="October"/>
    <x v="1"/>
    <m/>
  </r>
  <r>
    <x v="1"/>
    <x v="4"/>
    <s v="Paseo"/>
    <s v="Low"/>
    <n v="1514"/>
    <n v="10"/>
    <n v="15"/>
    <n v="22710"/>
    <n v="227.1"/>
    <x v="62"/>
    <n v="15140"/>
    <x v="62"/>
    <d v="2014-02-01T00:00:00"/>
    <n v="2"/>
    <s v="February"/>
    <x v="0"/>
    <m/>
  </r>
  <r>
    <x v="0"/>
    <x v="4"/>
    <s v="Paseo"/>
    <s v="Low"/>
    <n v="4492.5"/>
    <n v="10"/>
    <n v="7"/>
    <n v="31447.5"/>
    <n v="314.47500000000002"/>
    <x v="63"/>
    <n v="22462.5"/>
    <x v="63"/>
    <d v="2014-04-01T00:00:00"/>
    <n v="4"/>
    <s v="April"/>
    <x v="0"/>
    <m/>
  </r>
  <r>
    <x v="3"/>
    <x v="4"/>
    <s v="Paseo"/>
    <s v="Low"/>
    <n v="727"/>
    <n v="10"/>
    <n v="125"/>
    <n v="90875"/>
    <n v="908.75"/>
    <x v="64"/>
    <n v="87240"/>
    <x v="64"/>
    <d v="2014-06-01T00:00:00"/>
    <n v="6"/>
    <s v="June"/>
    <x v="0"/>
    <m/>
  </r>
  <r>
    <x v="3"/>
    <x v="2"/>
    <s v="Paseo"/>
    <s v="Low"/>
    <n v="787"/>
    <n v="10"/>
    <n v="125"/>
    <n v="98375"/>
    <n v="983.75"/>
    <x v="65"/>
    <n v="94440"/>
    <x v="65"/>
    <d v="2014-06-01T00:00:00"/>
    <n v="6"/>
    <s v="June"/>
    <x v="0"/>
    <m/>
  </r>
  <r>
    <x v="3"/>
    <x v="3"/>
    <s v="Paseo"/>
    <s v="Low"/>
    <n v="1823"/>
    <n v="10"/>
    <n v="125"/>
    <n v="227875"/>
    <n v="2278.75"/>
    <x v="66"/>
    <n v="218760"/>
    <x v="66"/>
    <d v="2014-07-01T00:00:00"/>
    <n v="7"/>
    <s v="July"/>
    <x v="0"/>
    <m/>
  </r>
  <r>
    <x v="1"/>
    <x v="1"/>
    <s v="Paseo"/>
    <s v="Low"/>
    <n v="747"/>
    <n v="10"/>
    <n v="15"/>
    <n v="11205"/>
    <n v="112.05"/>
    <x v="67"/>
    <n v="7470"/>
    <x v="67"/>
    <d v="2014-09-01T00:00:00"/>
    <n v="9"/>
    <s v="September"/>
    <x v="0"/>
    <m/>
  </r>
  <r>
    <x v="2"/>
    <x v="1"/>
    <s v="Paseo"/>
    <s v="Low"/>
    <n v="766"/>
    <n v="10"/>
    <n v="12"/>
    <n v="9192"/>
    <n v="91.92"/>
    <x v="52"/>
    <n v="2298"/>
    <x v="52"/>
    <d v="2013-10-01T00:00:00"/>
    <n v="10"/>
    <s v="October"/>
    <x v="1"/>
    <m/>
  </r>
  <r>
    <x v="4"/>
    <x v="4"/>
    <s v="Paseo"/>
    <s v="Low"/>
    <n v="2905"/>
    <n v="10"/>
    <n v="300"/>
    <n v="871500"/>
    <n v="8715"/>
    <x v="68"/>
    <n v="726250"/>
    <x v="68"/>
    <d v="2014-11-01T00:00:00"/>
    <n v="11"/>
    <s v="November"/>
    <x v="0"/>
    <m/>
  </r>
  <r>
    <x v="0"/>
    <x v="2"/>
    <s v="Paseo"/>
    <s v="Low"/>
    <n v="2155"/>
    <n v="10"/>
    <n v="350"/>
    <n v="754250"/>
    <n v="7542.5"/>
    <x v="55"/>
    <n v="560300"/>
    <x v="55"/>
    <d v="2014-12-01T00:00:00"/>
    <n v="12"/>
    <s v="December"/>
    <x v="0"/>
    <m/>
  </r>
  <r>
    <x v="0"/>
    <x v="2"/>
    <s v="Velo"/>
    <s v="Low"/>
    <n v="3864"/>
    <n v="120"/>
    <n v="20"/>
    <n v="77280"/>
    <n v="772.80000000000007"/>
    <x v="69"/>
    <n v="38640"/>
    <x v="69"/>
    <d v="2014-04-01T00:00:00"/>
    <n v="4"/>
    <s v="April"/>
    <x v="0"/>
    <m/>
  </r>
  <r>
    <x v="0"/>
    <x v="3"/>
    <s v="Velo"/>
    <s v="Low"/>
    <n v="362"/>
    <n v="120"/>
    <n v="7"/>
    <n v="2534"/>
    <n v="25.34"/>
    <x v="70"/>
    <n v="1810"/>
    <x v="70"/>
    <d v="2014-05-01T00:00:00"/>
    <n v="5"/>
    <s v="May"/>
    <x v="0"/>
    <m/>
  </r>
  <r>
    <x v="3"/>
    <x v="0"/>
    <s v="Velo"/>
    <s v="Low"/>
    <n v="923"/>
    <n v="120"/>
    <n v="125"/>
    <n v="115375"/>
    <n v="1153.75"/>
    <x v="71"/>
    <n v="110760"/>
    <x v="71"/>
    <d v="2014-08-01T00:00:00"/>
    <n v="8"/>
    <s v="August"/>
    <x v="0"/>
    <m/>
  </r>
  <r>
    <x v="3"/>
    <x v="4"/>
    <s v="Velo"/>
    <s v="Low"/>
    <n v="663"/>
    <n v="120"/>
    <n v="125"/>
    <n v="82875"/>
    <n v="828.75"/>
    <x v="61"/>
    <n v="79560"/>
    <x v="61"/>
    <d v="2013-10-01T00:00:00"/>
    <n v="10"/>
    <s v="October"/>
    <x v="1"/>
    <m/>
  </r>
  <r>
    <x v="0"/>
    <x v="0"/>
    <s v="Velo"/>
    <s v="Low"/>
    <n v="2092"/>
    <n v="120"/>
    <n v="7"/>
    <n v="14644"/>
    <n v="146.44"/>
    <x v="72"/>
    <n v="10460"/>
    <x v="72"/>
    <d v="2013-11-01T00:00:00"/>
    <n v="11"/>
    <s v="November"/>
    <x v="1"/>
    <m/>
  </r>
  <r>
    <x v="0"/>
    <x v="1"/>
    <s v="VTT"/>
    <s v="Low"/>
    <n v="263"/>
    <n v="250"/>
    <n v="7"/>
    <n v="1841"/>
    <n v="18.41"/>
    <x v="73"/>
    <n v="1315"/>
    <x v="73"/>
    <d v="2014-03-01T00:00:00"/>
    <n v="3"/>
    <s v="March"/>
    <x v="0"/>
    <m/>
  </r>
  <r>
    <x v="0"/>
    <x v="0"/>
    <s v="VTT"/>
    <s v="Low"/>
    <n v="943.5"/>
    <n v="250"/>
    <n v="350"/>
    <n v="330225"/>
    <n v="3302.25"/>
    <x v="74"/>
    <n v="245310"/>
    <x v="74"/>
    <d v="2014-04-01T00:00:00"/>
    <n v="4"/>
    <s v="April"/>
    <x v="0"/>
    <m/>
  </r>
  <r>
    <x v="3"/>
    <x v="4"/>
    <s v="VTT"/>
    <s v="Low"/>
    <n v="727"/>
    <n v="250"/>
    <n v="125"/>
    <n v="90875"/>
    <n v="908.75"/>
    <x v="64"/>
    <n v="87240"/>
    <x v="64"/>
    <d v="2014-06-01T00:00:00"/>
    <n v="6"/>
    <s v="June"/>
    <x v="0"/>
    <m/>
  </r>
  <r>
    <x v="3"/>
    <x v="2"/>
    <s v="VTT"/>
    <s v="Low"/>
    <n v="787"/>
    <n v="250"/>
    <n v="125"/>
    <n v="98375"/>
    <n v="983.75"/>
    <x v="65"/>
    <n v="94440"/>
    <x v="65"/>
    <d v="2014-06-01T00:00:00"/>
    <n v="6"/>
    <s v="June"/>
    <x v="0"/>
    <m/>
  </r>
  <r>
    <x v="4"/>
    <x v="1"/>
    <s v="VTT"/>
    <s v="Low"/>
    <n v="986"/>
    <n v="250"/>
    <n v="300"/>
    <n v="295800"/>
    <n v="2958"/>
    <x v="75"/>
    <n v="246500"/>
    <x v="75"/>
    <d v="2014-09-01T00:00:00"/>
    <n v="9"/>
    <s v="September"/>
    <x v="0"/>
    <m/>
  </r>
  <r>
    <x v="4"/>
    <x v="3"/>
    <s v="VTT"/>
    <s v="Low"/>
    <n v="494"/>
    <n v="250"/>
    <n v="300"/>
    <n v="148200"/>
    <n v="1482"/>
    <x v="53"/>
    <n v="123500"/>
    <x v="53"/>
    <d v="2013-10-01T00:00:00"/>
    <n v="10"/>
    <s v="October"/>
    <x v="1"/>
    <m/>
  </r>
  <r>
    <x v="0"/>
    <x v="3"/>
    <s v="VTT"/>
    <s v="Low"/>
    <n v="1397"/>
    <n v="250"/>
    <n v="350"/>
    <n v="488950"/>
    <n v="4889.5"/>
    <x v="54"/>
    <n v="363220"/>
    <x v="54"/>
    <d v="2014-10-01T00:00:00"/>
    <n v="10"/>
    <s v="October"/>
    <x v="0"/>
    <m/>
  </r>
  <r>
    <x v="3"/>
    <x v="2"/>
    <s v="VTT"/>
    <s v="Low"/>
    <n v="1744"/>
    <n v="250"/>
    <n v="125"/>
    <n v="218000"/>
    <n v="2180"/>
    <x v="76"/>
    <n v="209280"/>
    <x v="76"/>
    <d v="2014-11-01T00:00:00"/>
    <n v="11"/>
    <s v="November"/>
    <x v="0"/>
    <m/>
  </r>
  <r>
    <x v="2"/>
    <x v="4"/>
    <s v="Amarilla"/>
    <s v="Low"/>
    <n v="1989"/>
    <n v="260"/>
    <n v="12"/>
    <n v="23868"/>
    <n v="238.68"/>
    <x v="77"/>
    <n v="5967"/>
    <x v="77"/>
    <d v="2013-09-01T00:00:00"/>
    <n v="9"/>
    <s v="September"/>
    <x v="1"/>
    <m/>
  </r>
  <r>
    <x v="1"/>
    <x v="2"/>
    <s v="Amarilla"/>
    <s v="Low"/>
    <n v="321"/>
    <n v="260"/>
    <n v="15"/>
    <n v="4815"/>
    <n v="48.15"/>
    <x v="78"/>
    <n v="3210"/>
    <x v="78"/>
    <d v="2013-11-01T00:00:00"/>
    <n v="11"/>
    <s v="November"/>
    <x v="1"/>
    <m/>
  </r>
  <r>
    <x v="3"/>
    <x v="0"/>
    <s v="Carretera"/>
    <s v="Low"/>
    <n v="742.5"/>
    <n v="3"/>
    <n v="125"/>
    <n v="92812.5"/>
    <n v="1856.25"/>
    <x v="79"/>
    <n v="89100"/>
    <x v="79"/>
    <d v="2014-04-01T00:00:00"/>
    <n v="4"/>
    <s v="April"/>
    <x v="0"/>
    <m/>
  </r>
  <r>
    <x v="2"/>
    <x v="0"/>
    <s v="Carretera"/>
    <s v="Low"/>
    <n v="1295"/>
    <n v="3"/>
    <n v="12"/>
    <n v="15540"/>
    <n v="310.8"/>
    <x v="80"/>
    <n v="3885"/>
    <x v="80"/>
    <d v="2014-10-01T00:00:00"/>
    <n v="10"/>
    <s v="October"/>
    <x v="0"/>
    <m/>
  </r>
  <r>
    <x v="4"/>
    <x v="1"/>
    <s v="Carretera"/>
    <s v="Low"/>
    <n v="214"/>
    <n v="3"/>
    <n v="300"/>
    <n v="64200"/>
    <n v="1284"/>
    <x v="81"/>
    <n v="53500"/>
    <x v="81"/>
    <d v="2013-10-01T00:00:00"/>
    <n v="10"/>
    <s v="October"/>
    <x v="1"/>
    <m/>
  </r>
  <r>
    <x v="0"/>
    <x v="2"/>
    <s v="Carretera"/>
    <s v="Low"/>
    <n v="2145"/>
    <n v="3"/>
    <n v="7"/>
    <n v="15015"/>
    <n v="300.3"/>
    <x v="82"/>
    <n v="10725"/>
    <x v="82"/>
    <d v="2013-11-01T00:00:00"/>
    <n v="11"/>
    <s v="November"/>
    <x v="1"/>
    <m/>
  </r>
  <r>
    <x v="0"/>
    <x v="0"/>
    <s v="Carretera"/>
    <s v="Low"/>
    <n v="2852"/>
    <n v="3"/>
    <n v="350"/>
    <n v="998200"/>
    <n v="19964"/>
    <x v="83"/>
    <n v="741520"/>
    <x v="83"/>
    <d v="2014-12-01T00:00:00"/>
    <n v="12"/>
    <s v="December"/>
    <x v="0"/>
    <m/>
  </r>
  <r>
    <x v="2"/>
    <x v="4"/>
    <s v="Montana"/>
    <s v="Low"/>
    <n v="1142"/>
    <n v="5"/>
    <n v="12"/>
    <n v="13704"/>
    <n v="274.08"/>
    <x v="84"/>
    <n v="3426"/>
    <x v="84"/>
    <d v="2014-06-01T00:00:00"/>
    <n v="6"/>
    <s v="June"/>
    <x v="0"/>
    <m/>
  </r>
  <r>
    <x v="0"/>
    <x v="4"/>
    <s v="Montana"/>
    <s v="Low"/>
    <n v="1566"/>
    <n v="5"/>
    <n v="20"/>
    <n v="31320"/>
    <n v="626.4"/>
    <x v="85"/>
    <n v="15660"/>
    <x v="85"/>
    <d v="2014-10-01T00:00:00"/>
    <n v="10"/>
    <s v="October"/>
    <x v="0"/>
    <m/>
  </r>
  <r>
    <x v="2"/>
    <x v="3"/>
    <s v="Montana"/>
    <s v="Low"/>
    <n v="690"/>
    <n v="5"/>
    <n v="12"/>
    <n v="8280"/>
    <n v="165.6"/>
    <x v="86"/>
    <n v="2070"/>
    <x v="86"/>
    <d v="2014-11-01T00:00:00"/>
    <n v="11"/>
    <s v="November"/>
    <x v="0"/>
    <m/>
  </r>
  <r>
    <x v="3"/>
    <x v="3"/>
    <s v="Montana"/>
    <s v="Low"/>
    <n v="1660"/>
    <n v="5"/>
    <n v="125"/>
    <n v="207500"/>
    <n v="4150"/>
    <x v="87"/>
    <n v="199200"/>
    <x v="87"/>
    <d v="2013-11-01T00:00:00"/>
    <n v="11"/>
    <s v="November"/>
    <x v="1"/>
    <m/>
  </r>
  <r>
    <x v="1"/>
    <x v="0"/>
    <s v="Paseo"/>
    <s v="Low"/>
    <n v="2363"/>
    <n v="10"/>
    <n v="15"/>
    <n v="35445"/>
    <n v="708.9"/>
    <x v="88"/>
    <n v="23630"/>
    <x v="88"/>
    <d v="2014-02-01T00:00:00"/>
    <n v="2"/>
    <s v="February"/>
    <x v="0"/>
    <m/>
  </r>
  <r>
    <x v="4"/>
    <x v="2"/>
    <s v="Paseo"/>
    <s v="Low"/>
    <n v="918"/>
    <n v="10"/>
    <n v="300"/>
    <n v="275400"/>
    <n v="5508"/>
    <x v="89"/>
    <n v="229500"/>
    <x v="89"/>
    <d v="2014-05-01T00:00:00"/>
    <n v="5"/>
    <s v="May"/>
    <x v="0"/>
    <m/>
  </r>
  <r>
    <x v="4"/>
    <x v="1"/>
    <s v="Paseo"/>
    <s v="Low"/>
    <n v="1728"/>
    <n v="10"/>
    <n v="300"/>
    <n v="518400"/>
    <n v="10368"/>
    <x v="90"/>
    <n v="432000"/>
    <x v="90"/>
    <d v="2014-05-01T00:00:00"/>
    <n v="5"/>
    <s v="May"/>
    <x v="0"/>
    <m/>
  </r>
  <r>
    <x v="2"/>
    <x v="4"/>
    <s v="Paseo"/>
    <s v="Low"/>
    <n v="1142"/>
    <n v="10"/>
    <n v="12"/>
    <n v="13704"/>
    <n v="274.08"/>
    <x v="84"/>
    <n v="3426"/>
    <x v="84"/>
    <d v="2014-06-01T00:00:00"/>
    <n v="6"/>
    <s v="June"/>
    <x v="0"/>
    <m/>
  </r>
  <r>
    <x v="3"/>
    <x v="3"/>
    <s v="Paseo"/>
    <s v="Low"/>
    <n v="662"/>
    <n v="10"/>
    <n v="125"/>
    <n v="82750"/>
    <n v="1655"/>
    <x v="91"/>
    <n v="79440"/>
    <x v="91"/>
    <d v="2014-06-01T00:00:00"/>
    <n v="6"/>
    <s v="June"/>
    <x v="0"/>
    <m/>
  </r>
  <r>
    <x v="2"/>
    <x v="0"/>
    <s v="Paseo"/>
    <s v="Low"/>
    <n v="1295"/>
    <n v="10"/>
    <n v="12"/>
    <n v="15540"/>
    <n v="310.8"/>
    <x v="80"/>
    <n v="3885"/>
    <x v="80"/>
    <d v="2014-10-01T00:00:00"/>
    <n v="10"/>
    <s v="October"/>
    <x v="0"/>
    <m/>
  </r>
  <r>
    <x v="3"/>
    <x v="1"/>
    <s v="Paseo"/>
    <s v="Low"/>
    <n v="809"/>
    <n v="10"/>
    <n v="125"/>
    <n v="101125"/>
    <n v="2022.5"/>
    <x v="92"/>
    <n v="97080"/>
    <x v="92"/>
    <d v="2013-10-01T00:00:00"/>
    <n v="10"/>
    <s v="October"/>
    <x v="1"/>
    <m/>
  </r>
  <r>
    <x v="3"/>
    <x v="3"/>
    <s v="Paseo"/>
    <s v="Low"/>
    <n v="2145"/>
    <n v="10"/>
    <n v="125"/>
    <n v="268125"/>
    <n v="5362.5"/>
    <x v="93"/>
    <n v="257400"/>
    <x v="93"/>
    <d v="2013-10-01T00:00:00"/>
    <n v="10"/>
    <s v="October"/>
    <x v="1"/>
    <m/>
  </r>
  <r>
    <x v="2"/>
    <x v="2"/>
    <s v="Paseo"/>
    <s v="Low"/>
    <n v="1785"/>
    <n v="10"/>
    <n v="12"/>
    <n v="21420"/>
    <n v="428.4"/>
    <x v="94"/>
    <n v="5355"/>
    <x v="94"/>
    <d v="2013-11-01T00:00:00"/>
    <n v="11"/>
    <s v="November"/>
    <x v="1"/>
    <m/>
  </r>
  <r>
    <x v="4"/>
    <x v="0"/>
    <s v="Paseo"/>
    <s v="Low"/>
    <n v="1916"/>
    <n v="10"/>
    <n v="300"/>
    <n v="574800"/>
    <n v="11496"/>
    <x v="95"/>
    <n v="479000"/>
    <x v="95"/>
    <d v="2014-12-01T00:00:00"/>
    <n v="12"/>
    <s v="December"/>
    <x v="0"/>
    <m/>
  </r>
  <r>
    <x v="0"/>
    <x v="0"/>
    <s v="Paseo"/>
    <s v="Low"/>
    <n v="2852"/>
    <n v="10"/>
    <n v="350"/>
    <n v="998200"/>
    <n v="19964"/>
    <x v="83"/>
    <n v="741520"/>
    <x v="83"/>
    <d v="2014-12-01T00:00:00"/>
    <n v="12"/>
    <s v="December"/>
    <x v="0"/>
    <m/>
  </r>
  <r>
    <x v="3"/>
    <x v="0"/>
    <s v="Paseo"/>
    <s v="Low"/>
    <n v="2729"/>
    <n v="10"/>
    <n v="125"/>
    <n v="341125"/>
    <n v="6822.5"/>
    <x v="96"/>
    <n v="327480"/>
    <x v="96"/>
    <d v="2014-12-01T00:00:00"/>
    <n v="12"/>
    <s v="December"/>
    <x v="0"/>
    <m/>
  </r>
  <r>
    <x v="1"/>
    <x v="4"/>
    <s v="Paseo"/>
    <s v="Low"/>
    <n v="1925"/>
    <n v="10"/>
    <n v="15"/>
    <n v="28875"/>
    <n v="577.5"/>
    <x v="97"/>
    <n v="19250"/>
    <x v="97"/>
    <d v="2013-12-01T00:00:00"/>
    <n v="12"/>
    <s v="December"/>
    <x v="1"/>
    <m/>
  </r>
  <r>
    <x v="0"/>
    <x v="4"/>
    <s v="Paseo"/>
    <s v="Low"/>
    <n v="2013"/>
    <n v="10"/>
    <n v="7"/>
    <n v="14091"/>
    <n v="281.82"/>
    <x v="98"/>
    <n v="10065"/>
    <x v="98"/>
    <d v="2013-12-01T00:00:00"/>
    <n v="12"/>
    <s v="December"/>
    <x v="1"/>
    <m/>
  </r>
  <r>
    <x v="2"/>
    <x v="2"/>
    <s v="Paseo"/>
    <s v="Low"/>
    <n v="1055"/>
    <n v="10"/>
    <n v="12"/>
    <n v="12660"/>
    <n v="253.2"/>
    <x v="99"/>
    <n v="3165"/>
    <x v="99"/>
    <d v="2014-12-01T00:00:00"/>
    <n v="12"/>
    <s v="December"/>
    <x v="0"/>
    <m/>
  </r>
  <r>
    <x v="2"/>
    <x v="3"/>
    <s v="Paseo"/>
    <s v="Low"/>
    <n v="1084"/>
    <n v="10"/>
    <n v="12"/>
    <n v="13008"/>
    <n v="260.16000000000003"/>
    <x v="100"/>
    <n v="3252"/>
    <x v="100"/>
    <d v="2014-12-01T00:00:00"/>
    <n v="12"/>
    <s v="December"/>
    <x v="0"/>
    <m/>
  </r>
  <r>
    <x v="0"/>
    <x v="4"/>
    <s v="Velo"/>
    <s v="Low"/>
    <n v="1566"/>
    <n v="120"/>
    <n v="20"/>
    <n v="31320"/>
    <n v="626.4"/>
    <x v="85"/>
    <n v="15660"/>
    <x v="85"/>
    <d v="2014-10-01T00:00:00"/>
    <n v="10"/>
    <s v="October"/>
    <x v="0"/>
    <m/>
  </r>
  <r>
    <x v="0"/>
    <x v="1"/>
    <s v="Velo"/>
    <s v="Low"/>
    <n v="2966"/>
    <n v="120"/>
    <n v="350"/>
    <n v="1038100"/>
    <n v="20762"/>
    <x v="101"/>
    <n v="771160"/>
    <x v="101"/>
    <d v="2013-10-01T00:00:00"/>
    <n v="10"/>
    <s v="October"/>
    <x v="1"/>
    <m/>
  </r>
  <r>
    <x v="0"/>
    <x v="1"/>
    <s v="Velo"/>
    <s v="Low"/>
    <n v="2877"/>
    <n v="120"/>
    <n v="350"/>
    <n v="1006950"/>
    <n v="20139"/>
    <x v="102"/>
    <n v="748020"/>
    <x v="102"/>
    <d v="2014-10-01T00:00:00"/>
    <n v="10"/>
    <s v="October"/>
    <x v="0"/>
    <m/>
  </r>
  <r>
    <x v="3"/>
    <x v="1"/>
    <s v="Velo"/>
    <s v="Low"/>
    <n v="809"/>
    <n v="120"/>
    <n v="125"/>
    <n v="101125"/>
    <n v="2022.5"/>
    <x v="92"/>
    <n v="97080"/>
    <x v="92"/>
    <d v="2013-10-01T00:00:00"/>
    <n v="10"/>
    <s v="October"/>
    <x v="1"/>
    <m/>
  </r>
  <r>
    <x v="3"/>
    <x v="3"/>
    <s v="Velo"/>
    <s v="Low"/>
    <n v="2145"/>
    <n v="120"/>
    <n v="125"/>
    <n v="268125"/>
    <n v="5362.5"/>
    <x v="93"/>
    <n v="257400"/>
    <x v="93"/>
    <d v="2013-10-01T00:00:00"/>
    <n v="10"/>
    <s v="October"/>
    <x v="1"/>
    <m/>
  </r>
  <r>
    <x v="2"/>
    <x v="2"/>
    <s v="Velo"/>
    <s v="Low"/>
    <n v="1055"/>
    <n v="120"/>
    <n v="12"/>
    <n v="12660"/>
    <n v="253.2"/>
    <x v="99"/>
    <n v="3165"/>
    <x v="99"/>
    <d v="2014-12-01T00:00:00"/>
    <n v="12"/>
    <s v="December"/>
    <x v="0"/>
    <m/>
  </r>
  <r>
    <x v="0"/>
    <x v="3"/>
    <s v="Velo"/>
    <s v="Low"/>
    <n v="544"/>
    <n v="120"/>
    <n v="20"/>
    <n v="10880"/>
    <n v="217.6"/>
    <x v="103"/>
    <n v="5440"/>
    <x v="103"/>
    <d v="2013-12-01T00:00:00"/>
    <n v="12"/>
    <s v="December"/>
    <x v="1"/>
    <m/>
  </r>
  <r>
    <x v="2"/>
    <x v="3"/>
    <s v="Velo"/>
    <s v="Low"/>
    <n v="1084"/>
    <n v="120"/>
    <n v="12"/>
    <n v="13008"/>
    <n v="260.16000000000003"/>
    <x v="100"/>
    <n v="3252"/>
    <x v="100"/>
    <d v="2014-12-01T00:00:00"/>
    <n v="12"/>
    <s v="December"/>
    <x v="0"/>
    <m/>
  </r>
  <r>
    <x v="3"/>
    <x v="3"/>
    <s v="VTT"/>
    <s v="Low"/>
    <n v="662"/>
    <n v="250"/>
    <n v="125"/>
    <n v="82750"/>
    <n v="1655"/>
    <x v="91"/>
    <n v="79440"/>
    <x v="91"/>
    <d v="2014-06-01T00:00:00"/>
    <n v="6"/>
    <s v="June"/>
    <x v="0"/>
    <m/>
  </r>
  <r>
    <x v="4"/>
    <x v="1"/>
    <s v="VTT"/>
    <s v="Low"/>
    <n v="214"/>
    <n v="250"/>
    <n v="300"/>
    <n v="64200"/>
    <n v="1284"/>
    <x v="81"/>
    <n v="53500"/>
    <x v="81"/>
    <d v="2013-10-01T00:00:00"/>
    <n v="10"/>
    <s v="October"/>
    <x v="1"/>
    <m/>
  </r>
  <r>
    <x v="0"/>
    <x v="1"/>
    <s v="VTT"/>
    <s v="Low"/>
    <n v="2877"/>
    <n v="250"/>
    <n v="350"/>
    <n v="1006950"/>
    <n v="20139"/>
    <x v="102"/>
    <n v="748020"/>
    <x v="102"/>
    <d v="2014-10-01T00:00:00"/>
    <n v="10"/>
    <s v="October"/>
    <x v="0"/>
    <m/>
  </r>
  <r>
    <x v="3"/>
    <x v="0"/>
    <s v="VTT"/>
    <s v="Low"/>
    <n v="2729"/>
    <n v="250"/>
    <n v="125"/>
    <n v="341125"/>
    <n v="6822.5"/>
    <x v="96"/>
    <n v="327480"/>
    <x v="96"/>
    <d v="2014-12-01T00:00:00"/>
    <n v="12"/>
    <s v="December"/>
    <x v="0"/>
    <m/>
  </r>
  <r>
    <x v="0"/>
    <x v="4"/>
    <s v="VTT"/>
    <s v="Low"/>
    <n v="266"/>
    <n v="250"/>
    <n v="350"/>
    <n v="93100"/>
    <n v="1862"/>
    <x v="104"/>
    <n v="69160"/>
    <x v="104"/>
    <d v="2013-12-01T00:00:00"/>
    <n v="12"/>
    <s v="December"/>
    <x v="1"/>
    <m/>
  </r>
  <r>
    <x v="0"/>
    <x v="3"/>
    <s v="VTT"/>
    <s v="Low"/>
    <n v="1940"/>
    <n v="250"/>
    <n v="350"/>
    <n v="679000"/>
    <n v="13580"/>
    <x v="105"/>
    <n v="504400"/>
    <x v="105"/>
    <d v="2013-12-01T00:00:00"/>
    <n v="12"/>
    <s v="December"/>
    <x v="1"/>
    <m/>
  </r>
  <r>
    <x v="4"/>
    <x v="1"/>
    <s v="Amarilla"/>
    <s v="Low"/>
    <n v="259"/>
    <n v="260"/>
    <n v="300"/>
    <n v="77700"/>
    <n v="1554"/>
    <x v="106"/>
    <n v="64750"/>
    <x v="106"/>
    <d v="2014-03-01T00:00:00"/>
    <n v="3"/>
    <s v="March"/>
    <x v="0"/>
    <m/>
  </r>
  <r>
    <x v="4"/>
    <x v="3"/>
    <s v="Amarilla"/>
    <s v="Low"/>
    <n v="1101"/>
    <n v="260"/>
    <n v="300"/>
    <n v="330300"/>
    <n v="6606"/>
    <x v="107"/>
    <n v="275250"/>
    <x v="107"/>
    <d v="2014-03-01T00:00:00"/>
    <n v="3"/>
    <s v="March"/>
    <x v="0"/>
    <m/>
  </r>
  <r>
    <x v="3"/>
    <x v="1"/>
    <s v="Amarilla"/>
    <s v="Low"/>
    <n v="2276"/>
    <n v="260"/>
    <n v="125"/>
    <n v="284500"/>
    <n v="5690"/>
    <x v="108"/>
    <n v="273120"/>
    <x v="108"/>
    <d v="2014-05-01T00:00:00"/>
    <n v="5"/>
    <s v="May"/>
    <x v="0"/>
    <m/>
  </r>
  <r>
    <x v="0"/>
    <x v="1"/>
    <s v="Amarilla"/>
    <s v="Low"/>
    <n v="2966"/>
    <n v="260"/>
    <n v="350"/>
    <n v="1038100"/>
    <n v="20762"/>
    <x v="101"/>
    <n v="771160"/>
    <x v="101"/>
    <d v="2013-10-01T00:00:00"/>
    <n v="10"/>
    <s v="October"/>
    <x v="1"/>
    <m/>
  </r>
  <r>
    <x v="0"/>
    <x v="4"/>
    <s v="Amarilla"/>
    <s v="Low"/>
    <n v="1236"/>
    <n v="260"/>
    <n v="20"/>
    <n v="24720"/>
    <n v="494.4"/>
    <x v="109"/>
    <n v="12360"/>
    <x v="109"/>
    <d v="2014-11-01T00:00:00"/>
    <n v="11"/>
    <s v="November"/>
    <x v="0"/>
    <m/>
  </r>
  <r>
    <x v="0"/>
    <x v="2"/>
    <s v="Amarilla"/>
    <s v="Low"/>
    <n v="941"/>
    <n v="260"/>
    <n v="20"/>
    <n v="18820"/>
    <n v="376.4"/>
    <x v="110"/>
    <n v="9410"/>
    <x v="110"/>
    <d v="2014-11-01T00:00:00"/>
    <n v="11"/>
    <s v="November"/>
    <x v="0"/>
    <m/>
  </r>
  <r>
    <x v="4"/>
    <x v="0"/>
    <s v="Amarilla"/>
    <s v="Low"/>
    <n v="1916"/>
    <n v="260"/>
    <n v="300"/>
    <n v="574800"/>
    <n v="11496"/>
    <x v="95"/>
    <n v="479000"/>
    <x v="95"/>
    <d v="2014-12-01T00:00:00"/>
    <n v="12"/>
    <s v="December"/>
    <x v="0"/>
    <m/>
  </r>
  <r>
    <x v="3"/>
    <x v="2"/>
    <s v="Carretera"/>
    <s v="Low"/>
    <n v="4243.5"/>
    <n v="3"/>
    <n v="125"/>
    <n v="530437.5"/>
    <n v="15913.125"/>
    <x v="111"/>
    <n v="509220"/>
    <x v="111"/>
    <d v="2014-04-01T00:00:00"/>
    <n v="4"/>
    <s v="April"/>
    <x v="0"/>
    <m/>
  </r>
  <r>
    <x v="0"/>
    <x v="1"/>
    <s v="Carretera"/>
    <s v="Low"/>
    <n v="2580"/>
    <n v="3"/>
    <n v="20"/>
    <n v="51600"/>
    <n v="1548"/>
    <x v="112"/>
    <n v="25800"/>
    <x v="112"/>
    <d v="2014-04-01T00:00:00"/>
    <n v="4"/>
    <s v="April"/>
    <x v="0"/>
    <m/>
  </r>
  <r>
    <x v="4"/>
    <x v="1"/>
    <s v="Carretera"/>
    <s v="Low"/>
    <n v="689"/>
    <n v="3"/>
    <n v="300"/>
    <n v="206700"/>
    <n v="6201"/>
    <x v="113"/>
    <n v="172250"/>
    <x v="113"/>
    <d v="2014-06-01T00:00:00"/>
    <n v="6"/>
    <s v="June"/>
    <x v="0"/>
    <m/>
  </r>
  <r>
    <x v="2"/>
    <x v="4"/>
    <s v="Carretera"/>
    <s v="Low"/>
    <n v="1947"/>
    <n v="3"/>
    <n v="12"/>
    <n v="23364"/>
    <n v="700.92"/>
    <x v="114"/>
    <n v="5841"/>
    <x v="114"/>
    <d v="2014-09-01T00:00:00"/>
    <n v="9"/>
    <s v="September"/>
    <x v="0"/>
    <m/>
  </r>
  <r>
    <x v="2"/>
    <x v="0"/>
    <s v="Carretera"/>
    <s v="Low"/>
    <n v="908"/>
    <n v="3"/>
    <n v="12"/>
    <n v="10896"/>
    <n v="326.88"/>
    <x v="115"/>
    <n v="2724"/>
    <x v="115"/>
    <d v="2013-12-01T00:00:00"/>
    <n v="12"/>
    <s v="December"/>
    <x v="1"/>
    <m/>
  </r>
  <r>
    <x v="0"/>
    <x v="1"/>
    <s v="Montana"/>
    <s v="Low"/>
    <n v="1958"/>
    <n v="5"/>
    <n v="7"/>
    <n v="13706"/>
    <n v="411.18"/>
    <x v="116"/>
    <n v="9790"/>
    <x v="116"/>
    <d v="2014-02-01T00:00:00"/>
    <n v="2"/>
    <s v="February"/>
    <x v="0"/>
    <m/>
  </r>
  <r>
    <x v="2"/>
    <x v="2"/>
    <s v="Montana"/>
    <s v="Low"/>
    <n v="1901"/>
    <n v="5"/>
    <n v="12"/>
    <n v="22812"/>
    <n v="684.36"/>
    <x v="117"/>
    <n v="5703"/>
    <x v="117"/>
    <d v="2014-06-01T00:00:00"/>
    <n v="6"/>
    <s v="June"/>
    <x v="0"/>
    <m/>
  </r>
  <r>
    <x v="0"/>
    <x v="2"/>
    <s v="Montana"/>
    <s v="Low"/>
    <n v="544"/>
    <n v="5"/>
    <n v="7"/>
    <n v="3808"/>
    <n v="114.24"/>
    <x v="118"/>
    <n v="2720"/>
    <x v="118"/>
    <d v="2014-09-01T00:00:00"/>
    <n v="9"/>
    <s v="September"/>
    <x v="0"/>
    <m/>
  </r>
  <r>
    <x v="0"/>
    <x v="1"/>
    <s v="Montana"/>
    <s v="Low"/>
    <n v="1797"/>
    <n v="5"/>
    <n v="350"/>
    <n v="628950"/>
    <n v="18868.5"/>
    <x v="119"/>
    <n v="467220"/>
    <x v="119"/>
    <d v="2013-09-01T00:00:00"/>
    <n v="9"/>
    <s v="September"/>
    <x v="1"/>
    <m/>
  </r>
  <r>
    <x v="3"/>
    <x v="2"/>
    <s v="Montana"/>
    <s v="Low"/>
    <n v="1287"/>
    <n v="5"/>
    <n v="125"/>
    <n v="160875"/>
    <n v="4826.25"/>
    <x v="120"/>
    <n v="154440"/>
    <x v="120"/>
    <d v="2014-12-01T00:00:00"/>
    <n v="12"/>
    <s v="December"/>
    <x v="0"/>
    <m/>
  </r>
  <r>
    <x v="3"/>
    <x v="1"/>
    <s v="Montana"/>
    <s v="Low"/>
    <n v="1706"/>
    <n v="5"/>
    <n v="125"/>
    <n v="213250"/>
    <n v="6397.5"/>
    <x v="121"/>
    <n v="204720"/>
    <x v="121"/>
    <d v="2014-12-01T00:00:00"/>
    <n v="12"/>
    <s v="December"/>
    <x v="0"/>
    <m/>
  </r>
  <r>
    <x v="4"/>
    <x v="2"/>
    <s v="Paseo"/>
    <s v="Low"/>
    <n v="2434.5"/>
    <n v="10"/>
    <n v="300"/>
    <n v="730350"/>
    <n v="21910.5"/>
    <x v="122"/>
    <n v="608625"/>
    <x v="122"/>
    <d v="2014-01-01T00:00:00"/>
    <n v="1"/>
    <s v="January"/>
    <x v="0"/>
    <m/>
  </r>
  <r>
    <x v="3"/>
    <x v="0"/>
    <s v="Paseo"/>
    <s v="Low"/>
    <n v="1774"/>
    <n v="10"/>
    <n v="125"/>
    <n v="221750"/>
    <n v="6652.5"/>
    <x v="123"/>
    <n v="212880"/>
    <x v="123"/>
    <d v="2014-03-01T00:00:00"/>
    <n v="3"/>
    <s v="March"/>
    <x v="0"/>
    <m/>
  </r>
  <r>
    <x v="2"/>
    <x v="2"/>
    <s v="Paseo"/>
    <s v="Low"/>
    <n v="1901"/>
    <n v="10"/>
    <n v="12"/>
    <n v="22812"/>
    <n v="684.36"/>
    <x v="117"/>
    <n v="5703"/>
    <x v="117"/>
    <d v="2014-06-01T00:00:00"/>
    <n v="6"/>
    <s v="June"/>
    <x v="0"/>
    <m/>
  </r>
  <r>
    <x v="4"/>
    <x v="1"/>
    <s v="Paseo"/>
    <s v="Low"/>
    <n v="689"/>
    <n v="10"/>
    <n v="300"/>
    <n v="206700"/>
    <n v="6201"/>
    <x v="113"/>
    <n v="172250"/>
    <x v="113"/>
    <d v="2014-06-01T00:00:00"/>
    <n v="6"/>
    <s v="June"/>
    <x v="0"/>
    <m/>
  </r>
  <r>
    <x v="3"/>
    <x v="1"/>
    <s v="Paseo"/>
    <s v="Low"/>
    <n v="1570"/>
    <n v="10"/>
    <n v="125"/>
    <n v="196250"/>
    <n v="5887.5"/>
    <x v="124"/>
    <n v="188400"/>
    <x v="124"/>
    <d v="2014-06-01T00:00:00"/>
    <n v="6"/>
    <s v="June"/>
    <x v="0"/>
    <m/>
  </r>
  <r>
    <x v="2"/>
    <x v="4"/>
    <s v="Paseo"/>
    <s v="Low"/>
    <n v="1369.5"/>
    <n v="10"/>
    <n v="12"/>
    <n v="16434"/>
    <n v="493.02"/>
    <x v="125"/>
    <n v="4108.5"/>
    <x v="125"/>
    <d v="2014-07-01T00:00:00"/>
    <n v="7"/>
    <s v="July"/>
    <x v="0"/>
    <m/>
  </r>
  <r>
    <x v="3"/>
    <x v="0"/>
    <s v="Paseo"/>
    <s v="Low"/>
    <n v="2009"/>
    <n v="10"/>
    <n v="125"/>
    <n v="251125"/>
    <n v="7533.75"/>
    <x v="126"/>
    <n v="241080"/>
    <x v="126"/>
    <d v="2014-10-01T00:00:00"/>
    <n v="10"/>
    <s v="October"/>
    <x v="0"/>
    <m/>
  </r>
  <r>
    <x v="1"/>
    <x v="1"/>
    <s v="Paseo"/>
    <s v="Low"/>
    <n v="1945"/>
    <n v="10"/>
    <n v="15"/>
    <n v="29175"/>
    <n v="875.25"/>
    <x v="127"/>
    <n v="19450"/>
    <x v="127"/>
    <d v="2013-10-01T00:00:00"/>
    <n v="10"/>
    <s v="October"/>
    <x v="1"/>
    <m/>
  </r>
  <r>
    <x v="3"/>
    <x v="2"/>
    <s v="Paseo"/>
    <s v="Low"/>
    <n v="1287"/>
    <n v="10"/>
    <n v="125"/>
    <n v="160875"/>
    <n v="4826.25"/>
    <x v="120"/>
    <n v="154440"/>
    <x v="120"/>
    <d v="2014-12-01T00:00:00"/>
    <n v="12"/>
    <s v="December"/>
    <x v="0"/>
    <m/>
  </r>
  <r>
    <x v="3"/>
    <x v="1"/>
    <s v="Paseo"/>
    <s v="Low"/>
    <n v="1706"/>
    <n v="10"/>
    <n v="125"/>
    <n v="213250"/>
    <n v="6397.5"/>
    <x v="121"/>
    <n v="204720"/>
    <x v="121"/>
    <d v="2014-12-01T00:00:00"/>
    <n v="12"/>
    <s v="December"/>
    <x v="0"/>
    <m/>
  </r>
  <r>
    <x v="3"/>
    <x v="0"/>
    <s v="Velo"/>
    <s v="Low"/>
    <n v="2009"/>
    <n v="120"/>
    <n v="125"/>
    <n v="251125"/>
    <n v="7533.75"/>
    <x v="126"/>
    <n v="241080"/>
    <x v="126"/>
    <d v="2014-10-01T00:00:00"/>
    <n v="10"/>
    <s v="October"/>
    <x v="0"/>
    <m/>
  </r>
  <r>
    <x v="4"/>
    <x v="4"/>
    <s v="VTT"/>
    <s v="Low"/>
    <n v="2844"/>
    <n v="250"/>
    <n v="300"/>
    <n v="853200"/>
    <n v="25596"/>
    <x v="128"/>
    <n v="711000"/>
    <x v="128"/>
    <d v="2014-02-01T00:00:00"/>
    <n v="2"/>
    <s v="February"/>
    <x v="0"/>
    <m/>
  </r>
  <r>
    <x v="2"/>
    <x v="3"/>
    <s v="VTT"/>
    <s v="Low"/>
    <n v="1916"/>
    <n v="250"/>
    <n v="12"/>
    <n v="22992"/>
    <n v="689.76"/>
    <x v="129"/>
    <n v="5748"/>
    <x v="129"/>
    <d v="2014-04-01T00:00:00"/>
    <n v="4"/>
    <s v="April"/>
    <x v="0"/>
    <m/>
  </r>
  <r>
    <x v="3"/>
    <x v="1"/>
    <s v="VTT"/>
    <s v="Low"/>
    <n v="1570"/>
    <n v="250"/>
    <n v="125"/>
    <n v="196250"/>
    <n v="5887.5"/>
    <x v="124"/>
    <n v="188400"/>
    <x v="124"/>
    <d v="2014-06-01T00:00:00"/>
    <n v="6"/>
    <s v="June"/>
    <x v="0"/>
    <m/>
  </r>
  <r>
    <x v="4"/>
    <x v="0"/>
    <s v="VTT"/>
    <s v="Low"/>
    <n v="1874"/>
    <n v="250"/>
    <n v="300"/>
    <n v="562200"/>
    <n v="16866"/>
    <x v="130"/>
    <n v="468500"/>
    <x v="130"/>
    <d v="2014-08-01T00:00:00"/>
    <n v="8"/>
    <s v="August"/>
    <x v="0"/>
    <m/>
  </r>
  <r>
    <x v="0"/>
    <x v="3"/>
    <s v="VTT"/>
    <s v="Low"/>
    <n v="1642"/>
    <n v="250"/>
    <n v="350"/>
    <n v="574700"/>
    <n v="17241"/>
    <x v="131"/>
    <n v="426920"/>
    <x v="131"/>
    <d v="2014-08-01T00:00:00"/>
    <n v="8"/>
    <s v="August"/>
    <x v="0"/>
    <m/>
  </r>
  <r>
    <x v="1"/>
    <x v="1"/>
    <s v="VTT"/>
    <s v="Low"/>
    <n v="1945"/>
    <n v="250"/>
    <n v="15"/>
    <n v="29175"/>
    <n v="875.25"/>
    <x v="127"/>
    <n v="19450"/>
    <x v="127"/>
    <d v="2013-10-01T00:00:00"/>
    <n v="10"/>
    <s v="October"/>
    <x v="1"/>
    <m/>
  </r>
  <r>
    <x v="0"/>
    <x v="0"/>
    <s v="Carretera"/>
    <s v="Low"/>
    <n v="831"/>
    <n v="3"/>
    <n v="20"/>
    <n v="16620"/>
    <n v="498.6"/>
    <x v="132"/>
    <n v="8310"/>
    <x v="132"/>
    <d v="2014-05-01T00:00:00"/>
    <n v="5"/>
    <s v="May"/>
    <x v="0"/>
    <m/>
  </r>
  <r>
    <x v="0"/>
    <x v="3"/>
    <s v="Paseo"/>
    <s v="Low"/>
    <n v="1760"/>
    <n v="10"/>
    <n v="7"/>
    <n v="12320"/>
    <n v="369.6"/>
    <x v="133"/>
    <n v="8800"/>
    <x v="133"/>
    <d v="2013-09-01T00:00:00"/>
    <n v="9"/>
    <s v="September"/>
    <x v="1"/>
    <m/>
  </r>
  <r>
    <x v="0"/>
    <x v="0"/>
    <s v="Velo"/>
    <s v="Low"/>
    <n v="3850.5"/>
    <n v="120"/>
    <n v="20"/>
    <n v="77010"/>
    <n v="2310.3000000000002"/>
    <x v="134"/>
    <n v="38505"/>
    <x v="134"/>
    <d v="2014-04-01T00:00:00"/>
    <n v="4"/>
    <s v="April"/>
    <x v="0"/>
    <m/>
  </r>
  <r>
    <x v="2"/>
    <x v="1"/>
    <s v="VTT"/>
    <s v="Low"/>
    <n v="2479"/>
    <n v="250"/>
    <n v="12"/>
    <n v="29748"/>
    <n v="892.44"/>
    <x v="135"/>
    <n v="7437"/>
    <x v="135"/>
    <d v="2014-01-01T00:00:00"/>
    <n v="1"/>
    <s v="January"/>
    <x v="0"/>
    <m/>
  </r>
  <r>
    <x v="1"/>
    <x v="3"/>
    <s v="Montana"/>
    <s v="Low"/>
    <n v="2031"/>
    <n v="5"/>
    <n v="15"/>
    <n v="30465"/>
    <n v="1218.5999999999999"/>
    <x v="136"/>
    <n v="20310"/>
    <x v="136"/>
    <d v="2014-10-01T00:00:00"/>
    <n v="10"/>
    <s v="October"/>
    <x v="0"/>
    <m/>
  </r>
  <r>
    <x v="1"/>
    <x v="3"/>
    <s v="Paseo"/>
    <s v="Low"/>
    <n v="2031"/>
    <n v="10"/>
    <n v="15"/>
    <n v="30465"/>
    <n v="1218.5999999999999"/>
    <x v="136"/>
    <n v="20310"/>
    <x v="136"/>
    <d v="2014-10-01T00:00:00"/>
    <n v="10"/>
    <s v="October"/>
    <x v="0"/>
    <m/>
  </r>
  <r>
    <x v="1"/>
    <x v="2"/>
    <s v="Paseo"/>
    <s v="Low"/>
    <n v="2261"/>
    <n v="10"/>
    <n v="15"/>
    <n v="33915"/>
    <n v="1356.6"/>
    <x v="137"/>
    <n v="22610"/>
    <x v="137"/>
    <d v="2013-12-01T00:00:00"/>
    <n v="12"/>
    <s v="December"/>
    <x v="1"/>
    <m/>
  </r>
  <r>
    <x v="0"/>
    <x v="4"/>
    <s v="Velo"/>
    <s v="Low"/>
    <n v="736"/>
    <n v="120"/>
    <n v="20"/>
    <n v="14720"/>
    <n v="588.79999999999995"/>
    <x v="138"/>
    <n v="7360"/>
    <x v="138"/>
    <d v="2013-09-01T00:00:00"/>
    <n v="9"/>
    <s v="September"/>
    <x v="1"/>
    <m/>
  </r>
  <r>
    <x v="0"/>
    <x v="0"/>
    <s v="Carretera"/>
    <s v="Low"/>
    <n v="2851"/>
    <n v="3"/>
    <n v="7"/>
    <n v="19957"/>
    <n v="798.28"/>
    <x v="139"/>
    <n v="14255"/>
    <x v="139"/>
    <d v="2013-10-01T00:00:00"/>
    <n v="10"/>
    <s v="October"/>
    <x v="1"/>
    <m/>
  </r>
  <r>
    <x v="4"/>
    <x v="1"/>
    <s v="Carretera"/>
    <s v="Low"/>
    <n v="2021"/>
    <n v="3"/>
    <n v="300"/>
    <n v="606300"/>
    <n v="24252"/>
    <x v="140"/>
    <n v="505250"/>
    <x v="140"/>
    <d v="2014-10-01T00:00:00"/>
    <n v="10"/>
    <s v="October"/>
    <x v="0"/>
    <m/>
  </r>
  <r>
    <x v="0"/>
    <x v="4"/>
    <s v="Carretera"/>
    <s v="Low"/>
    <n v="274"/>
    <n v="3"/>
    <n v="350"/>
    <n v="95900"/>
    <n v="3836"/>
    <x v="141"/>
    <n v="71240"/>
    <x v="141"/>
    <d v="2014-12-01T00:00:00"/>
    <n v="12"/>
    <s v="December"/>
    <x v="0"/>
    <m/>
  </r>
  <r>
    <x v="1"/>
    <x v="0"/>
    <s v="Montana"/>
    <s v="Low"/>
    <n v="1967"/>
    <n v="5"/>
    <n v="15"/>
    <n v="29505"/>
    <n v="1180.2"/>
    <x v="142"/>
    <n v="19670"/>
    <x v="142"/>
    <d v="2014-03-01T00:00:00"/>
    <n v="3"/>
    <s v="March"/>
    <x v="0"/>
    <m/>
  </r>
  <r>
    <x v="4"/>
    <x v="1"/>
    <s v="Montana"/>
    <s v="Low"/>
    <n v="1859"/>
    <n v="5"/>
    <n v="300"/>
    <n v="557700"/>
    <n v="22308"/>
    <x v="143"/>
    <n v="464750"/>
    <x v="143"/>
    <d v="2014-08-01T00:00:00"/>
    <n v="8"/>
    <s v="August"/>
    <x v="0"/>
    <m/>
  </r>
  <r>
    <x v="0"/>
    <x v="0"/>
    <s v="Montana"/>
    <s v="Low"/>
    <n v="2851"/>
    <n v="5"/>
    <n v="7"/>
    <n v="19957"/>
    <n v="798.28"/>
    <x v="139"/>
    <n v="14255"/>
    <x v="139"/>
    <d v="2013-10-01T00:00:00"/>
    <n v="10"/>
    <s v="October"/>
    <x v="1"/>
    <m/>
  </r>
  <r>
    <x v="4"/>
    <x v="1"/>
    <s v="Montana"/>
    <s v="Low"/>
    <n v="2021"/>
    <n v="5"/>
    <n v="300"/>
    <n v="606300"/>
    <n v="24252"/>
    <x v="140"/>
    <n v="505250"/>
    <x v="140"/>
    <d v="2014-10-01T00:00:00"/>
    <n v="10"/>
    <s v="October"/>
    <x v="0"/>
    <m/>
  </r>
  <r>
    <x v="3"/>
    <x v="3"/>
    <s v="Montana"/>
    <s v="Low"/>
    <n v="1138"/>
    <n v="5"/>
    <n v="125"/>
    <n v="142250"/>
    <n v="5690"/>
    <x v="144"/>
    <n v="136560"/>
    <x v="144"/>
    <d v="2014-12-01T00:00:00"/>
    <n v="12"/>
    <s v="December"/>
    <x v="0"/>
    <m/>
  </r>
  <r>
    <x v="0"/>
    <x v="0"/>
    <s v="Paseo"/>
    <s v="Low"/>
    <n v="4251"/>
    <n v="10"/>
    <n v="7"/>
    <n v="29757"/>
    <n v="1190.28"/>
    <x v="145"/>
    <n v="21255"/>
    <x v="145"/>
    <d v="2014-01-01T00:00:00"/>
    <n v="1"/>
    <s v="January"/>
    <x v="0"/>
    <m/>
  </r>
  <r>
    <x v="3"/>
    <x v="1"/>
    <s v="Paseo"/>
    <s v="Low"/>
    <n v="795"/>
    <n v="10"/>
    <n v="125"/>
    <n v="99375"/>
    <n v="3975"/>
    <x v="146"/>
    <n v="95400"/>
    <x v="144"/>
    <d v="2014-03-01T00:00:00"/>
    <n v="3"/>
    <s v="March"/>
    <x v="0"/>
    <m/>
  </r>
  <r>
    <x v="4"/>
    <x v="1"/>
    <s v="Paseo"/>
    <s v="Low"/>
    <n v="1414.5"/>
    <n v="10"/>
    <n v="300"/>
    <n v="424350"/>
    <n v="16974"/>
    <x v="147"/>
    <n v="353625"/>
    <x v="146"/>
    <d v="2014-04-01T00:00:00"/>
    <n v="4"/>
    <s v="April"/>
    <x v="0"/>
    <m/>
  </r>
  <r>
    <x v="4"/>
    <x v="4"/>
    <s v="Paseo"/>
    <s v="Low"/>
    <n v="2918"/>
    <n v="10"/>
    <n v="300"/>
    <n v="875400"/>
    <n v="35016"/>
    <x v="148"/>
    <n v="729500"/>
    <x v="147"/>
    <d v="2014-05-01T00:00:00"/>
    <n v="5"/>
    <s v="May"/>
    <x v="0"/>
    <m/>
  </r>
  <r>
    <x v="0"/>
    <x v="4"/>
    <s v="Paseo"/>
    <s v="Low"/>
    <n v="3450"/>
    <n v="10"/>
    <n v="350"/>
    <n v="1207500"/>
    <n v="48300"/>
    <x v="149"/>
    <n v="897000"/>
    <x v="148"/>
    <d v="2014-07-01T00:00:00"/>
    <n v="7"/>
    <s v="July"/>
    <x v="0"/>
    <m/>
  </r>
  <r>
    <x v="3"/>
    <x v="2"/>
    <s v="Paseo"/>
    <s v="Low"/>
    <n v="2988"/>
    <n v="10"/>
    <n v="125"/>
    <n v="373500"/>
    <n v="14940"/>
    <x v="150"/>
    <n v="358560"/>
    <x v="144"/>
    <d v="2014-07-01T00:00:00"/>
    <n v="7"/>
    <s v="July"/>
    <x v="0"/>
    <m/>
  </r>
  <r>
    <x v="1"/>
    <x v="0"/>
    <s v="Paseo"/>
    <s v="Low"/>
    <n v="218"/>
    <n v="10"/>
    <n v="15"/>
    <n v="3270"/>
    <n v="130.80000000000001"/>
    <x v="151"/>
    <n v="2180"/>
    <x v="149"/>
    <d v="2014-09-01T00:00:00"/>
    <n v="9"/>
    <s v="September"/>
    <x v="0"/>
    <m/>
  </r>
  <r>
    <x v="0"/>
    <x v="0"/>
    <s v="Paseo"/>
    <s v="Low"/>
    <n v="2074"/>
    <n v="10"/>
    <n v="20"/>
    <n v="41480"/>
    <n v="1659.2"/>
    <x v="152"/>
    <n v="20740"/>
    <x v="150"/>
    <d v="2014-09-01T00:00:00"/>
    <n v="9"/>
    <s v="September"/>
    <x v="0"/>
    <m/>
  </r>
  <r>
    <x v="0"/>
    <x v="4"/>
    <s v="Paseo"/>
    <s v="Low"/>
    <n v="1056"/>
    <n v="10"/>
    <n v="20"/>
    <n v="21120"/>
    <n v="844.8"/>
    <x v="153"/>
    <n v="10560"/>
    <x v="151"/>
    <d v="2014-09-01T00:00:00"/>
    <n v="9"/>
    <s v="September"/>
    <x v="0"/>
    <m/>
  </r>
  <r>
    <x v="1"/>
    <x v="4"/>
    <s v="Paseo"/>
    <s v="Low"/>
    <n v="671"/>
    <n v="10"/>
    <n v="15"/>
    <n v="10065"/>
    <n v="402.6"/>
    <x v="154"/>
    <n v="6710"/>
    <x v="152"/>
    <d v="2013-10-01T00:00:00"/>
    <n v="10"/>
    <s v="October"/>
    <x v="1"/>
    <m/>
  </r>
  <r>
    <x v="1"/>
    <x v="3"/>
    <s v="Paseo"/>
    <s v="Low"/>
    <n v="1514"/>
    <n v="10"/>
    <n v="15"/>
    <n v="22710"/>
    <n v="908.4"/>
    <x v="155"/>
    <n v="15140"/>
    <x v="153"/>
    <d v="2013-10-01T00:00:00"/>
    <n v="10"/>
    <s v="October"/>
    <x v="1"/>
    <m/>
  </r>
  <r>
    <x v="0"/>
    <x v="4"/>
    <s v="Paseo"/>
    <s v="Low"/>
    <n v="274"/>
    <n v="10"/>
    <n v="350"/>
    <n v="95900"/>
    <n v="3836"/>
    <x v="141"/>
    <n v="71240"/>
    <x v="141"/>
    <d v="2014-12-01T00:00:00"/>
    <n v="12"/>
    <s v="December"/>
    <x v="0"/>
    <m/>
  </r>
  <r>
    <x v="3"/>
    <x v="3"/>
    <s v="Paseo"/>
    <s v="Low"/>
    <n v="1138"/>
    <n v="10"/>
    <n v="125"/>
    <n v="142250"/>
    <n v="5690"/>
    <x v="144"/>
    <n v="136560"/>
    <x v="144"/>
    <d v="2014-12-01T00:00:00"/>
    <n v="12"/>
    <s v="December"/>
    <x v="0"/>
    <m/>
  </r>
  <r>
    <x v="2"/>
    <x v="4"/>
    <s v="Velo"/>
    <s v="Low"/>
    <n v="1465"/>
    <n v="120"/>
    <n v="12"/>
    <n v="17580"/>
    <n v="703.2"/>
    <x v="156"/>
    <n v="4395"/>
    <x v="154"/>
    <d v="2014-03-01T00:00:00"/>
    <n v="3"/>
    <s v="March"/>
    <x v="0"/>
    <m/>
  </r>
  <r>
    <x v="0"/>
    <x v="0"/>
    <s v="Velo"/>
    <s v="Low"/>
    <n v="2646"/>
    <n v="120"/>
    <n v="20"/>
    <n v="52920"/>
    <n v="2116.8000000000002"/>
    <x v="157"/>
    <n v="26460"/>
    <x v="155"/>
    <d v="2013-09-01T00:00:00"/>
    <n v="9"/>
    <s v="September"/>
    <x v="1"/>
    <m/>
  </r>
  <r>
    <x v="0"/>
    <x v="2"/>
    <s v="Velo"/>
    <s v="Low"/>
    <n v="2177"/>
    <n v="120"/>
    <n v="350"/>
    <n v="761950"/>
    <n v="30478"/>
    <x v="158"/>
    <n v="566020"/>
    <x v="156"/>
    <d v="2014-10-01T00:00:00"/>
    <n v="10"/>
    <s v="October"/>
    <x v="0"/>
    <m/>
  </r>
  <r>
    <x v="2"/>
    <x v="2"/>
    <s v="VTT"/>
    <s v="Low"/>
    <n v="866"/>
    <n v="250"/>
    <n v="12"/>
    <n v="10392"/>
    <n v="415.68"/>
    <x v="159"/>
    <n v="2598"/>
    <x v="157"/>
    <d v="2014-05-01T00:00:00"/>
    <n v="5"/>
    <s v="May"/>
    <x v="0"/>
    <m/>
  </r>
  <r>
    <x v="0"/>
    <x v="4"/>
    <s v="VTT"/>
    <s v="Low"/>
    <n v="349"/>
    <n v="250"/>
    <n v="350"/>
    <n v="122150"/>
    <n v="4886"/>
    <x v="160"/>
    <n v="90740"/>
    <x v="158"/>
    <d v="2013-09-01T00:00:00"/>
    <n v="9"/>
    <s v="September"/>
    <x v="1"/>
    <m/>
  </r>
  <r>
    <x v="0"/>
    <x v="2"/>
    <s v="VTT"/>
    <s v="Low"/>
    <n v="2177"/>
    <n v="250"/>
    <n v="350"/>
    <n v="761950"/>
    <n v="30478"/>
    <x v="158"/>
    <n v="566020"/>
    <x v="156"/>
    <d v="2014-10-01T00:00:00"/>
    <n v="10"/>
    <s v="October"/>
    <x v="0"/>
    <m/>
  </r>
  <r>
    <x v="1"/>
    <x v="3"/>
    <s v="VTT"/>
    <s v="Low"/>
    <n v="1514"/>
    <n v="250"/>
    <n v="15"/>
    <n v="22710"/>
    <n v="908.4"/>
    <x v="155"/>
    <n v="15140"/>
    <x v="153"/>
    <d v="2013-10-01T00:00:00"/>
    <n v="10"/>
    <s v="October"/>
    <x v="1"/>
    <m/>
  </r>
  <r>
    <x v="0"/>
    <x v="3"/>
    <s v="Amarilla"/>
    <s v="Low"/>
    <n v="1865"/>
    <n v="260"/>
    <n v="350"/>
    <n v="652750"/>
    <n v="26110"/>
    <x v="161"/>
    <n v="484900"/>
    <x v="159"/>
    <d v="2014-02-01T00:00:00"/>
    <n v="2"/>
    <s v="February"/>
    <x v="0"/>
    <m/>
  </r>
  <r>
    <x v="3"/>
    <x v="3"/>
    <s v="Amarilla"/>
    <s v="Low"/>
    <n v="1074"/>
    <n v="260"/>
    <n v="125"/>
    <n v="134250"/>
    <n v="5370"/>
    <x v="162"/>
    <n v="128880"/>
    <x v="144"/>
    <d v="2014-04-01T00:00:00"/>
    <n v="4"/>
    <s v="April"/>
    <x v="0"/>
    <m/>
  </r>
  <r>
    <x v="0"/>
    <x v="1"/>
    <s v="Amarilla"/>
    <s v="Low"/>
    <n v="1907"/>
    <n v="260"/>
    <n v="350"/>
    <n v="667450"/>
    <n v="26698"/>
    <x v="163"/>
    <n v="495820"/>
    <x v="160"/>
    <d v="2014-09-01T00:00:00"/>
    <n v="9"/>
    <s v="September"/>
    <x v="0"/>
    <m/>
  </r>
  <r>
    <x v="1"/>
    <x v="4"/>
    <s v="Amarilla"/>
    <s v="Low"/>
    <n v="671"/>
    <n v="260"/>
    <n v="15"/>
    <n v="10065"/>
    <n v="402.6"/>
    <x v="154"/>
    <n v="6710"/>
    <x v="152"/>
    <d v="2013-10-01T00:00:00"/>
    <n v="10"/>
    <s v="October"/>
    <x v="1"/>
    <m/>
  </r>
  <r>
    <x v="0"/>
    <x v="0"/>
    <s v="Amarilla"/>
    <s v="Low"/>
    <n v="1778"/>
    <n v="260"/>
    <n v="350"/>
    <n v="622300"/>
    <n v="24892"/>
    <x v="164"/>
    <n v="462280"/>
    <x v="161"/>
    <d v="2013-12-01T00:00:00"/>
    <n v="12"/>
    <s v="December"/>
    <x v="1"/>
    <m/>
  </r>
  <r>
    <x v="0"/>
    <x v="1"/>
    <s v="Montana"/>
    <s v="Medium"/>
    <n v="1159"/>
    <n v="5"/>
    <n v="7"/>
    <n v="8113"/>
    <n v="405.65"/>
    <x v="165"/>
    <n v="5795"/>
    <x v="162"/>
    <d v="2013-10-01T00:00:00"/>
    <n v="10"/>
    <s v="October"/>
    <x v="1"/>
    <m/>
  </r>
  <r>
    <x v="0"/>
    <x v="1"/>
    <s v="Paseo"/>
    <s v="Medium"/>
    <n v="1372"/>
    <n v="10"/>
    <n v="7"/>
    <n v="9604"/>
    <n v="480.2"/>
    <x v="166"/>
    <n v="6860"/>
    <x v="163"/>
    <d v="2014-01-01T00:00:00"/>
    <n v="1"/>
    <s v="January"/>
    <x v="0"/>
    <m/>
  </r>
  <r>
    <x v="0"/>
    <x v="0"/>
    <s v="Paseo"/>
    <s v="Medium"/>
    <n v="2349"/>
    <n v="10"/>
    <n v="7"/>
    <n v="16443"/>
    <n v="822.15"/>
    <x v="167"/>
    <n v="11745"/>
    <x v="164"/>
    <d v="2013-09-01T00:00:00"/>
    <n v="9"/>
    <s v="September"/>
    <x v="1"/>
    <m/>
  </r>
  <r>
    <x v="0"/>
    <x v="3"/>
    <s v="Paseo"/>
    <s v="Medium"/>
    <n v="2689"/>
    <n v="10"/>
    <n v="7"/>
    <n v="18823"/>
    <n v="941.15"/>
    <x v="168"/>
    <n v="13445"/>
    <x v="165"/>
    <d v="2014-10-01T00:00:00"/>
    <n v="10"/>
    <s v="October"/>
    <x v="0"/>
    <m/>
  </r>
  <r>
    <x v="2"/>
    <x v="0"/>
    <s v="Paseo"/>
    <s v="Medium"/>
    <n v="2431"/>
    <n v="10"/>
    <n v="12"/>
    <n v="29172"/>
    <n v="1458.6"/>
    <x v="169"/>
    <n v="7293"/>
    <x v="166"/>
    <d v="2014-12-01T00:00:00"/>
    <n v="12"/>
    <s v="December"/>
    <x v="0"/>
    <m/>
  </r>
  <r>
    <x v="2"/>
    <x v="0"/>
    <s v="Velo"/>
    <s v="Medium"/>
    <n v="2431"/>
    <n v="120"/>
    <n v="12"/>
    <n v="29172"/>
    <n v="1458.6"/>
    <x v="169"/>
    <n v="7293"/>
    <x v="166"/>
    <d v="2014-12-01T00:00:00"/>
    <n v="12"/>
    <s v="December"/>
    <x v="0"/>
    <m/>
  </r>
  <r>
    <x v="0"/>
    <x v="3"/>
    <s v="VTT"/>
    <s v="Medium"/>
    <n v="2689"/>
    <n v="250"/>
    <n v="7"/>
    <n v="18823"/>
    <n v="941.15"/>
    <x v="168"/>
    <n v="13445"/>
    <x v="165"/>
    <d v="2014-10-01T00:00:00"/>
    <n v="10"/>
    <s v="October"/>
    <x v="0"/>
    <m/>
  </r>
  <r>
    <x v="0"/>
    <x v="3"/>
    <s v="Amarilla"/>
    <s v="Medium"/>
    <n v="1683"/>
    <n v="260"/>
    <n v="7"/>
    <n v="11781"/>
    <n v="589.04999999999995"/>
    <x v="170"/>
    <n v="8415"/>
    <x v="167"/>
    <d v="2014-07-01T00:00:00"/>
    <n v="7"/>
    <s v="July"/>
    <x v="0"/>
    <m/>
  </r>
  <r>
    <x v="2"/>
    <x v="3"/>
    <s v="Amarilla"/>
    <s v="Medium"/>
    <n v="1123"/>
    <n v="260"/>
    <n v="12"/>
    <n v="13476"/>
    <n v="673.8"/>
    <x v="171"/>
    <n v="3369"/>
    <x v="168"/>
    <d v="2014-08-01T00:00:00"/>
    <n v="8"/>
    <s v="August"/>
    <x v="0"/>
    <m/>
  </r>
  <r>
    <x v="0"/>
    <x v="1"/>
    <s v="Amarilla"/>
    <s v="Medium"/>
    <n v="1159"/>
    <n v="260"/>
    <n v="7"/>
    <n v="8113"/>
    <n v="405.65"/>
    <x v="165"/>
    <n v="5795"/>
    <x v="162"/>
    <d v="2013-10-01T00:00:00"/>
    <n v="10"/>
    <s v="October"/>
    <x v="1"/>
    <m/>
  </r>
  <r>
    <x v="2"/>
    <x v="2"/>
    <s v="Carretera"/>
    <s v="Medium"/>
    <n v="1865"/>
    <n v="3"/>
    <n v="12"/>
    <n v="22380"/>
    <n v="1119"/>
    <x v="172"/>
    <n v="5595"/>
    <x v="169"/>
    <d v="2014-02-01T00:00:00"/>
    <n v="2"/>
    <s v="February"/>
    <x v="0"/>
    <m/>
  </r>
  <r>
    <x v="2"/>
    <x v="1"/>
    <s v="Carretera"/>
    <s v="Medium"/>
    <n v="1116"/>
    <n v="3"/>
    <n v="12"/>
    <n v="13392"/>
    <n v="669.6"/>
    <x v="173"/>
    <n v="3348"/>
    <x v="170"/>
    <d v="2014-02-01T00:00:00"/>
    <n v="2"/>
    <s v="February"/>
    <x v="0"/>
    <m/>
  </r>
  <r>
    <x v="0"/>
    <x v="2"/>
    <s v="Carretera"/>
    <s v="Medium"/>
    <n v="1563"/>
    <n v="3"/>
    <n v="20"/>
    <n v="31260"/>
    <n v="1563"/>
    <x v="174"/>
    <n v="15630"/>
    <x v="171"/>
    <d v="2014-05-01T00:00:00"/>
    <n v="5"/>
    <s v="May"/>
    <x v="0"/>
    <m/>
  </r>
  <r>
    <x v="4"/>
    <x v="4"/>
    <s v="Carretera"/>
    <s v="Medium"/>
    <n v="991"/>
    <n v="3"/>
    <n v="300"/>
    <n v="297300"/>
    <n v="14865"/>
    <x v="175"/>
    <n v="247750"/>
    <x v="172"/>
    <d v="2014-06-01T00:00:00"/>
    <n v="6"/>
    <s v="June"/>
    <x v="0"/>
    <m/>
  </r>
  <r>
    <x v="0"/>
    <x v="1"/>
    <s v="Carretera"/>
    <s v="Medium"/>
    <n v="1016"/>
    <n v="3"/>
    <n v="7"/>
    <n v="7112"/>
    <n v="355.6"/>
    <x v="176"/>
    <n v="5080"/>
    <x v="173"/>
    <d v="2013-11-01T00:00:00"/>
    <n v="11"/>
    <s v="November"/>
    <x v="1"/>
    <m/>
  </r>
  <r>
    <x v="1"/>
    <x v="3"/>
    <s v="Carretera"/>
    <s v="Medium"/>
    <n v="2791"/>
    <n v="3"/>
    <n v="15"/>
    <n v="41865"/>
    <n v="2093.25"/>
    <x v="177"/>
    <n v="27910"/>
    <x v="174"/>
    <d v="2014-11-01T00:00:00"/>
    <n v="11"/>
    <s v="November"/>
    <x v="0"/>
    <m/>
  </r>
  <r>
    <x v="0"/>
    <x v="4"/>
    <s v="Carretera"/>
    <s v="Medium"/>
    <n v="570"/>
    <n v="3"/>
    <n v="7"/>
    <n v="3990"/>
    <n v="199.5"/>
    <x v="178"/>
    <n v="2850"/>
    <x v="175"/>
    <d v="2014-12-01T00:00:00"/>
    <n v="12"/>
    <s v="December"/>
    <x v="0"/>
    <m/>
  </r>
  <r>
    <x v="0"/>
    <x v="2"/>
    <s v="Carretera"/>
    <s v="Medium"/>
    <n v="2487"/>
    <n v="3"/>
    <n v="7"/>
    <n v="17409"/>
    <n v="870.45"/>
    <x v="179"/>
    <n v="12435"/>
    <x v="176"/>
    <d v="2014-12-01T00:00:00"/>
    <n v="12"/>
    <s v="December"/>
    <x v="0"/>
    <m/>
  </r>
  <r>
    <x v="0"/>
    <x v="2"/>
    <s v="Montana"/>
    <s v="Medium"/>
    <n v="1384.5"/>
    <n v="5"/>
    <n v="350"/>
    <n v="484575"/>
    <n v="24228.75"/>
    <x v="180"/>
    <n v="359970"/>
    <x v="177"/>
    <d v="2014-01-01T00:00:00"/>
    <n v="1"/>
    <s v="January"/>
    <x v="0"/>
    <m/>
  </r>
  <r>
    <x v="3"/>
    <x v="4"/>
    <s v="Montana"/>
    <s v="Medium"/>
    <n v="3627"/>
    <n v="5"/>
    <n v="125"/>
    <n v="453375"/>
    <n v="22668.75"/>
    <x v="181"/>
    <n v="435240"/>
    <x v="178"/>
    <d v="2014-07-01T00:00:00"/>
    <n v="7"/>
    <s v="July"/>
    <x v="0"/>
    <m/>
  </r>
  <r>
    <x v="0"/>
    <x v="3"/>
    <s v="Montana"/>
    <s v="Medium"/>
    <n v="720"/>
    <n v="5"/>
    <n v="350"/>
    <n v="252000"/>
    <n v="12600"/>
    <x v="182"/>
    <n v="187200"/>
    <x v="179"/>
    <d v="2013-09-01T00:00:00"/>
    <n v="9"/>
    <s v="September"/>
    <x v="1"/>
    <m/>
  </r>
  <r>
    <x v="2"/>
    <x v="1"/>
    <s v="Montana"/>
    <s v="Medium"/>
    <n v="2342"/>
    <n v="5"/>
    <n v="12"/>
    <n v="28104"/>
    <n v="1405.2"/>
    <x v="183"/>
    <n v="7026"/>
    <x v="180"/>
    <d v="2014-11-01T00:00:00"/>
    <n v="11"/>
    <s v="November"/>
    <x v="0"/>
    <m/>
  </r>
  <r>
    <x v="4"/>
    <x v="3"/>
    <s v="Montana"/>
    <s v="Medium"/>
    <n v="1100"/>
    <n v="5"/>
    <n v="300"/>
    <n v="330000"/>
    <n v="16500"/>
    <x v="184"/>
    <n v="275000"/>
    <x v="181"/>
    <d v="2013-12-01T00:00:00"/>
    <n v="12"/>
    <s v="December"/>
    <x v="1"/>
    <m/>
  </r>
  <r>
    <x v="0"/>
    <x v="2"/>
    <s v="Paseo"/>
    <s v="Medium"/>
    <n v="1303"/>
    <n v="10"/>
    <n v="20"/>
    <n v="26060"/>
    <n v="1303"/>
    <x v="185"/>
    <n v="13030"/>
    <x v="182"/>
    <d v="2014-02-01T00:00:00"/>
    <n v="2"/>
    <s v="February"/>
    <x v="0"/>
    <m/>
  </r>
  <r>
    <x v="3"/>
    <x v="4"/>
    <s v="Paseo"/>
    <s v="Medium"/>
    <n v="2992"/>
    <n v="10"/>
    <n v="125"/>
    <n v="374000"/>
    <n v="18700"/>
    <x v="186"/>
    <n v="359040"/>
    <x v="183"/>
    <d v="2014-03-01T00:00:00"/>
    <n v="3"/>
    <s v="March"/>
    <x v="0"/>
    <m/>
  </r>
  <r>
    <x v="3"/>
    <x v="2"/>
    <s v="Paseo"/>
    <s v="Medium"/>
    <n v="2385"/>
    <n v="10"/>
    <n v="125"/>
    <n v="298125"/>
    <n v="14906.25"/>
    <x v="187"/>
    <n v="286200"/>
    <x v="184"/>
    <d v="2014-03-01T00:00:00"/>
    <n v="3"/>
    <s v="March"/>
    <x v="0"/>
    <m/>
  </r>
  <r>
    <x v="4"/>
    <x v="3"/>
    <s v="Paseo"/>
    <s v="Medium"/>
    <n v="1607"/>
    <n v="10"/>
    <n v="300"/>
    <n v="482100"/>
    <n v="24105"/>
    <x v="188"/>
    <n v="401750"/>
    <x v="185"/>
    <d v="2014-04-01T00:00:00"/>
    <n v="4"/>
    <s v="April"/>
    <x v="0"/>
    <m/>
  </r>
  <r>
    <x v="0"/>
    <x v="4"/>
    <s v="Paseo"/>
    <s v="Medium"/>
    <n v="2327"/>
    <n v="10"/>
    <n v="7"/>
    <n v="16289"/>
    <n v="814.45"/>
    <x v="189"/>
    <n v="11635"/>
    <x v="186"/>
    <d v="2014-05-01T00:00:00"/>
    <n v="5"/>
    <s v="May"/>
    <x v="0"/>
    <m/>
  </r>
  <r>
    <x v="4"/>
    <x v="4"/>
    <s v="Paseo"/>
    <s v="Medium"/>
    <n v="991"/>
    <n v="10"/>
    <n v="300"/>
    <n v="297300"/>
    <n v="14865"/>
    <x v="175"/>
    <n v="247750"/>
    <x v="172"/>
    <d v="2014-06-01T00:00:00"/>
    <n v="6"/>
    <s v="June"/>
    <x v="0"/>
    <m/>
  </r>
  <r>
    <x v="0"/>
    <x v="4"/>
    <s v="Paseo"/>
    <s v="Medium"/>
    <n v="602"/>
    <n v="10"/>
    <n v="350"/>
    <n v="210700"/>
    <n v="10535"/>
    <x v="190"/>
    <n v="156520"/>
    <x v="187"/>
    <d v="2014-06-01T00:00:00"/>
    <n v="6"/>
    <s v="June"/>
    <x v="0"/>
    <m/>
  </r>
  <r>
    <x v="1"/>
    <x v="2"/>
    <s v="Paseo"/>
    <s v="Medium"/>
    <n v="2620"/>
    <n v="10"/>
    <n v="15"/>
    <n v="39300"/>
    <n v="1965"/>
    <x v="191"/>
    <n v="26200"/>
    <x v="188"/>
    <d v="2014-09-01T00:00:00"/>
    <n v="9"/>
    <s v="September"/>
    <x v="0"/>
    <m/>
  </r>
  <r>
    <x v="0"/>
    <x v="0"/>
    <s v="Paseo"/>
    <s v="Medium"/>
    <n v="1228"/>
    <n v="10"/>
    <n v="350"/>
    <n v="429800"/>
    <n v="21490"/>
    <x v="192"/>
    <n v="319280"/>
    <x v="189"/>
    <d v="2013-10-01T00:00:00"/>
    <n v="10"/>
    <s v="October"/>
    <x v="1"/>
    <m/>
  </r>
  <r>
    <x v="0"/>
    <x v="0"/>
    <s v="Paseo"/>
    <s v="Medium"/>
    <n v="1389"/>
    <n v="10"/>
    <n v="20"/>
    <n v="27780"/>
    <n v="1389"/>
    <x v="193"/>
    <n v="13890"/>
    <x v="190"/>
    <d v="2013-10-01T00:00:00"/>
    <n v="10"/>
    <s v="October"/>
    <x v="1"/>
    <m/>
  </r>
  <r>
    <x v="3"/>
    <x v="4"/>
    <s v="Paseo"/>
    <s v="Medium"/>
    <n v="861"/>
    <n v="10"/>
    <n v="125"/>
    <n v="107625"/>
    <n v="5381.25"/>
    <x v="194"/>
    <n v="103320"/>
    <x v="191"/>
    <d v="2014-10-01T00:00:00"/>
    <n v="10"/>
    <s v="October"/>
    <x v="0"/>
    <m/>
  </r>
  <r>
    <x v="3"/>
    <x v="2"/>
    <s v="Paseo"/>
    <s v="Medium"/>
    <n v="704"/>
    <n v="10"/>
    <n v="125"/>
    <n v="88000"/>
    <n v="4400"/>
    <x v="195"/>
    <n v="84480"/>
    <x v="192"/>
    <d v="2013-10-01T00:00:00"/>
    <n v="10"/>
    <s v="October"/>
    <x v="1"/>
    <m/>
  </r>
  <r>
    <x v="0"/>
    <x v="0"/>
    <s v="Paseo"/>
    <s v="Medium"/>
    <n v="1802"/>
    <n v="10"/>
    <n v="20"/>
    <n v="36040"/>
    <n v="1802"/>
    <x v="196"/>
    <n v="18020"/>
    <x v="193"/>
    <d v="2013-12-01T00:00:00"/>
    <n v="12"/>
    <s v="December"/>
    <x v="1"/>
    <m/>
  </r>
  <r>
    <x v="0"/>
    <x v="4"/>
    <s v="Paseo"/>
    <s v="Medium"/>
    <n v="2663"/>
    <n v="10"/>
    <n v="20"/>
    <n v="53260"/>
    <n v="2663"/>
    <x v="197"/>
    <n v="26630"/>
    <x v="194"/>
    <d v="2014-12-01T00:00:00"/>
    <n v="12"/>
    <s v="December"/>
    <x v="0"/>
    <m/>
  </r>
  <r>
    <x v="0"/>
    <x v="2"/>
    <s v="Paseo"/>
    <s v="Medium"/>
    <n v="2136"/>
    <n v="10"/>
    <n v="7"/>
    <n v="14952"/>
    <n v="747.6"/>
    <x v="198"/>
    <n v="10680"/>
    <x v="195"/>
    <d v="2013-12-01T00:00:00"/>
    <n v="12"/>
    <s v="December"/>
    <x v="1"/>
    <m/>
  </r>
  <r>
    <x v="1"/>
    <x v="1"/>
    <s v="Paseo"/>
    <s v="Medium"/>
    <n v="2116"/>
    <n v="10"/>
    <n v="15"/>
    <n v="31740"/>
    <n v="1587"/>
    <x v="199"/>
    <n v="21160"/>
    <x v="196"/>
    <d v="2013-12-01T00:00:00"/>
    <n v="12"/>
    <s v="December"/>
    <x v="1"/>
    <m/>
  </r>
  <r>
    <x v="1"/>
    <x v="4"/>
    <s v="Velo"/>
    <s v="Medium"/>
    <n v="555"/>
    <n v="120"/>
    <n v="15"/>
    <n v="8325"/>
    <n v="416.25"/>
    <x v="200"/>
    <n v="5550"/>
    <x v="197"/>
    <d v="2014-01-01T00:00:00"/>
    <n v="1"/>
    <s v="January"/>
    <x v="0"/>
    <m/>
  </r>
  <r>
    <x v="1"/>
    <x v="3"/>
    <s v="Velo"/>
    <s v="Medium"/>
    <n v="2861"/>
    <n v="120"/>
    <n v="15"/>
    <n v="42915"/>
    <n v="2145.75"/>
    <x v="201"/>
    <n v="28610"/>
    <x v="198"/>
    <d v="2014-01-01T00:00:00"/>
    <n v="1"/>
    <s v="January"/>
    <x v="0"/>
    <m/>
  </r>
  <r>
    <x v="3"/>
    <x v="1"/>
    <s v="Velo"/>
    <s v="Medium"/>
    <n v="807"/>
    <n v="120"/>
    <n v="125"/>
    <n v="100875"/>
    <n v="5043.75"/>
    <x v="202"/>
    <n v="96840"/>
    <x v="199"/>
    <d v="2014-02-01T00:00:00"/>
    <n v="2"/>
    <s v="February"/>
    <x v="0"/>
    <m/>
  </r>
  <r>
    <x v="0"/>
    <x v="4"/>
    <s v="Velo"/>
    <s v="Medium"/>
    <n v="602"/>
    <n v="120"/>
    <n v="350"/>
    <n v="210700"/>
    <n v="10535"/>
    <x v="190"/>
    <n v="156520"/>
    <x v="187"/>
    <d v="2014-06-01T00:00:00"/>
    <n v="6"/>
    <s v="June"/>
    <x v="0"/>
    <m/>
  </r>
  <r>
    <x v="0"/>
    <x v="4"/>
    <s v="Velo"/>
    <s v="Medium"/>
    <n v="2832"/>
    <n v="120"/>
    <n v="20"/>
    <n v="56640"/>
    <n v="2832"/>
    <x v="203"/>
    <n v="28320"/>
    <x v="200"/>
    <d v="2014-08-01T00:00:00"/>
    <n v="8"/>
    <s v="August"/>
    <x v="0"/>
    <m/>
  </r>
  <r>
    <x v="0"/>
    <x v="2"/>
    <s v="Velo"/>
    <s v="Medium"/>
    <n v="1579"/>
    <n v="120"/>
    <n v="20"/>
    <n v="31580"/>
    <n v="1579"/>
    <x v="204"/>
    <n v="15790"/>
    <x v="201"/>
    <d v="2014-08-01T00:00:00"/>
    <n v="8"/>
    <s v="August"/>
    <x v="0"/>
    <m/>
  </r>
  <r>
    <x v="3"/>
    <x v="4"/>
    <s v="Velo"/>
    <s v="Medium"/>
    <n v="861"/>
    <n v="120"/>
    <n v="125"/>
    <n v="107625"/>
    <n v="5381.25"/>
    <x v="194"/>
    <n v="103320"/>
    <x v="191"/>
    <d v="2014-10-01T00:00:00"/>
    <n v="10"/>
    <s v="October"/>
    <x v="0"/>
    <m/>
  </r>
  <r>
    <x v="3"/>
    <x v="2"/>
    <s v="Velo"/>
    <s v="Medium"/>
    <n v="704"/>
    <n v="120"/>
    <n v="125"/>
    <n v="88000"/>
    <n v="4400"/>
    <x v="195"/>
    <n v="84480"/>
    <x v="192"/>
    <d v="2013-10-01T00:00:00"/>
    <n v="10"/>
    <s v="October"/>
    <x v="1"/>
    <m/>
  </r>
  <r>
    <x v="0"/>
    <x v="2"/>
    <s v="Velo"/>
    <s v="Medium"/>
    <n v="1033"/>
    <n v="120"/>
    <n v="20"/>
    <n v="20660"/>
    <n v="1033"/>
    <x v="205"/>
    <n v="10330"/>
    <x v="202"/>
    <d v="2013-12-01T00:00:00"/>
    <n v="12"/>
    <s v="December"/>
    <x v="1"/>
    <m/>
  </r>
  <r>
    <x v="4"/>
    <x v="1"/>
    <s v="Velo"/>
    <s v="Medium"/>
    <n v="1250"/>
    <n v="120"/>
    <n v="300"/>
    <n v="375000"/>
    <n v="18750"/>
    <x v="206"/>
    <n v="312500"/>
    <x v="203"/>
    <d v="2014-12-01T00:00:00"/>
    <n v="12"/>
    <s v="December"/>
    <x v="0"/>
    <m/>
  </r>
  <r>
    <x v="0"/>
    <x v="0"/>
    <s v="VTT"/>
    <s v="Medium"/>
    <n v="1389"/>
    <n v="250"/>
    <n v="20"/>
    <n v="27780"/>
    <n v="1389"/>
    <x v="193"/>
    <n v="13890"/>
    <x v="190"/>
    <d v="2013-10-01T00:00:00"/>
    <n v="10"/>
    <s v="October"/>
    <x v="1"/>
    <m/>
  </r>
  <r>
    <x v="0"/>
    <x v="4"/>
    <s v="VTT"/>
    <s v="Medium"/>
    <n v="1265"/>
    <n v="250"/>
    <n v="20"/>
    <n v="25300"/>
    <n v="1265"/>
    <x v="207"/>
    <n v="12650"/>
    <x v="204"/>
    <d v="2013-11-01T00:00:00"/>
    <n v="11"/>
    <s v="November"/>
    <x v="1"/>
    <m/>
  </r>
  <r>
    <x v="0"/>
    <x v="1"/>
    <s v="VTT"/>
    <s v="Medium"/>
    <n v="2297"/>
    <n v="250"/>
    <n v="20"/>
    <n v="45940"/>
    <n v="2297"/>
    <x v="208"/>
    <n v="22970"/>
    <x v="205"/>
    <d v="2013-11-01T00:00:00"/>
    <n v="11"/>
    <s v="November"/>
    <x v="1"/>
    <m/>
  </r>
  <r>
    <x v="0"/>
    <x v="4"/>
    <s v="VTT"/>
    <s v="Medium"/>
    <n v="2663"/>
    <n v="250"/>
    <n v="20"/>
    <n v="53260"/>
    <n v="2663"/>
    <x v="197"/>
    <n v="26630"/>
    <x v="194"/>
    <d v="2014-12-01T00:00:00"/>
    <n v="12"/>
    <s v="December"/>
    <x v="0"/>
    <m/>
  </r>
  <r>
    <x v="0"/>
    <x v="4"/>
    <s v="VTT"/>
    <s v="Medium"/>
    <n v="570"/>
    <n v="250"/>
    <n v="7"/>
    <n v="3990"/>
    <n v="199.5"/>
    <x v="178"/>
    <n v="2850"/>
    <x v="175"/>
    <d v="2014-12-01T00:00:00"/>
    <n v="12"/>
    <s v="December"/>
    <x v="0"/>
    <m/>
  </r>
  <r>
    <x v="0"/>
    <x v="2"/>
    <s v="VTT"/>
    <s v="Medium"/>
    <n v="2487"/>
    <n v="250"/>
    <n v="7"/>
    <n v="17409"/>
    <n v="870.45"/>
    <x v="179"/>
    <n v="12435"/>
    <x v="176"/>
    <d v="2014-12-01T00:00:00"/>
    <n v="12"/>
    <s v="December"/>
    <x v="0"/>
    <m/>
  </r>
  <r>
    <x v="0"/>
    <x v="1"/>
    <s v="Amarilla"/>
    <s v="Medium"/>
    <n v="1350"/>
    <n v="260"/>
    <n v="350"/>
    <n v="472500"/>
    <n v="23625"/>
    <x v="209"/>
    <n v="351000"/>
    <x v="206"/>
    <d v="2014-02-01T00:00:00"/>
    <n v="2"/>
    <s v="February"/>
    <x v="0"/>
    <m/>
  </r>
  <r>
    <x v="0"/>
    <x v="0"/>
    <s v="Amarilla"/>
    <s v="Medium"/>
    <n v="552"/>
    <n v="260"/>
    <n v="350"/>
    <n v="193200"/>
    <n v="9660"/>
    <x v="210"/>
    <n v="143520"/>
    <x v="207"/>
    <d v="2014-08-01T00:00:00"/>
    <n v="8"/>
    <s v="August"/>
    <x v="0"/>
    <m/>
  </r>
  <r>
    <x v="0"/>
    <x v="0"/>
    <s v="Amarilla"/>
    <s v="Medium"/>
    <n v="1228"/>
    <n v="260"/>
    <n v="350"/>
    <n v="429800"/>
    <n v="21490"/>
    <x v="192"/>
    <n v="319280"/>
    <x v="189"/>
    <d v="2013-10-01T00:00:00"/>
    <n v="10"/>
    <s v="October"/>
    <x v="1"/>
    <m/>
  </r>
  <r>
    <x v="4"/>
    <x v="1"/>
    <s v="Amarilla"/>
    <s v="Medium"/>
    <n v="1250"/>
    <n v="260"/>
    <n v="300"/>
    <n v="375000"/>
    <n v="18750"/>
    <x v="206"/>
    <n v="312500"/>
    <x v="203"/>
    <d v="2014-12-01T00:00:00"/>
    <n v="12"/>
    <s v="December"/>
    <x v="0"/>
    <m/>
  </r>
  <r>
    <x v="1"/>
    <x v="2"/>
    <s v="Paseo"/>
    <s v="Medium"/>
    <n v="3801"/>
    <n v="10"/>
    <n v="15"/>
    <n v="57015"/>
    <n v="3420.8999999999996"/>
    <x v="211"/>
    <n v="38010"/>
    <x v="208"/>
    <d v="2014-04-01T00:00:00"/>
    <n v="4"/>
    <s v="April"/>
    <x v="0"/>
    <m/>
  </r>
  <r>
    <x v="0"/>
    <x v="4"/>
    <s v="Carretera"/>
    <s v="Medium"/>
    <n v="1117.5"/>
    <n v="3"/>
    <n v="20"/>
    <n v="22350"/>
    <n v="1341"/>
    <x v="212"/>
    <n v="11175"/>
    <x v="209"/>
    <d v="2014-01-01T00:00:00"/>
    <n v="1"/>
    <s v="January"/>
    <x v="0"/>
    <m/>
  </r>
  <r>
    <x v="1"/>
    <x v="0"/>
    <s v="Carretera"/>
    <s v="Medium"/>
    <n v="2844"/>
    <n v="3"/>
    <n v="15"/>
    <n v="42660"/>
    <n v="2559.6"/>
    <x v="213"/>
    <n v="28440"/>
    <x v="210"/>
    <d v="2014-06-01T00:00:00"/>
    <n v="6"/>
    <s v="June"/>
    <x v="0"/>
    <m/>
  </r>
  <r>
    <x v="2"/>
    <x v="3"/>
    <s v="Carretera"/>
    <s v="Medium"/>
    <n v="562"/>
    <n v="3"/>
    <n v="12"/>
    <n v="6744"/>
    <n v="404.64"/>
    <x v="214"/>
    <n v="1686"/>
    <x v="211"/>
    <d v="2014-09-01T00:00:00"/>
    <n v="9"/>
    <s v="September"/>
    <x v="0"/>
    <m/>
  </r>
  <r>
    <x v="2"/>
    <x v="0"/>
    <s v="Carretera"/>
    <s v="Medium"/>
    <n v="2299"/>
    <n v="3"/>
    <n v="12"/>
    <n v="27588"/>
    <n v="1655.28"/>
    <x v="215"/>
    <n v="6897"/>
    <x v="212"/>
    <d v="2013-10-01T00:00:00"/>
    <n v="10"/>
    <s v="October"/>
    <x v="1"/>
    <m/>
  </r>
  <r>
    <x v="1"/>
    <x v="4"/>
    <s v="Carretera"/>
    <s v="Medium"/>
    <n v="2030"/>
    <n v="3"/>
    <n v="15"/>
    <n v="30450"/>
    <n v="1827"/>
    <x v="216"/>
    <n v="20300"/>
    <x v="213"/>
    <d v="2014-11-01T00:00:00"/>
    <n v="11"/>
    <s v="November"/>
    <x v="0"/>
    <m/>
  </r>
  <r>
    <x v="0"/>
    <x v="4"/>
    <s v="Carretera"/>
    <s v="Medium"/>
    <n v="263"/>
    <n v="3"/>
    <n v="7"/>
    <n v="1841"/>
    <n v="110.46"/>
    <x v="217"/>
    <n v="1315"/>
    <x v="214"/>
    <d v="2013-11-01T00:00:00"/>
    <n v="11"/>
    <s v="November"/>
    <x v="1"/>
    <m/>
  </r>
  <r>
    <x v="3"/>
    <x v="1"/>
    <s v="Carretera"/>
    <s v="Medium"/>
    <n v="887"/>
    <n v="3"/>
    <n v="125"/>
    <n v="110875"/>
    <n v="6652.5"/>
    <x v="218"/>
    <n v="106440"/>
    <x v="215"/>
    <d v="2013-12-01T00:00:00"/>
    <n v="12"/>
    <s v="December"/>
    <x v="1"/>
    <m/>
  </r>
  <r>
    <x v="0"/>
    <x v="3"/>
    <s v="Montana"/>
    <s v="Medium"/>
    <n v="980"/>
    <n v="5"/>
    <n v="350"/>
    <n v="343000"/>
    <n v="20580"/>
    <x v="219"/>
    <n v="254800"/>
    <x v="216"/>
    <d v="2014-04-01T00:00:00"/>
    <n v="4"/>
    <s v="April"/>
    <x v="0"/>
    <m/>
  </r>
  <r>
    <x v="0"/>
    <x v="1"/>
    <s v="Montana"/>
    <s v="Medium"/>
    <n v="1460"/>
    <n v="5"/>
    <n v="350"/>
    <n v="511000"/>
    <n v="30660"/>
    <x v="220"/>
    <n v="379600"/>
    <x v="217"/>
    <d v="2014-05-01T00:00:00"/>
    <n v="5"/>
    <s v="May"/>
    <x v="0"/>
    <m/>
  </r>
  <r>
    <x v="0"/>
    <x v="2"/>
    <s v="Montana"/>
    <s v="Medium"/>
    <n v="1403"/>
    <n v="5"/>
    <n v="7"/>
    <n v="9821"/>
    <n v="589.26"/>
    <x v="221"/>
    <n v="7015"/>
    <x v="218"/>
    <d v="2013-10-01T00:00:00"/>
    <n v="10"/>
    <s v="October"/>
    <x v="1"/>
    <m/>
  </r>
  <r>
    <x v="2"/>
    <x v="4"/>
    <s v="Montana"/>
    <s v="Medium"/>
    <n v="2723"/>
    <n v="5"/>
    <n v="12"/>
    <n v="32676"/>
    <n v="1960.56"/>
    <x v="222"/>
    <n v="8169"/>
    <x v="219"/>
    <d v="2014-11-01T00:00:00"/>
    <n v="11"/>
    <s v="November"/>
    <x v="0"/>
    <m/>
  </r>
  <r>
    <x v="0"/>
    <x v="2"/>
    <s v="Paseo"/>
    <s v="Medium"/>
    <n v="1496"/>
    <n v="10"/>
    <n v="350"/>
    <n v="523600"/>
    <n v="31416"/>
    <x v="223"/>
    <n v="388960"/>
    <x v="220"/>
    <d v="2014-06-01T00:00:00"/>
    <n v="6"/>
    <s v="June"/>
    <x v="0"/>
    <m/>
  </r>
  <r>
    <x v="2"/>
    <x v="0"/>
    <s v="Paseo"/>
    <s v="Medium"/>
    <n v="2299"/>
    <n v="10"/>
    <n v="12"/>
    <n v="27588"/>
    <n v="1655.28"/>
    <x v="215"/>
    <n v="6897"/>
    <x v="212"/>
    <d v="2013-10-01T00:00:00"/>
    <n v="10"/>
    <s v="October"/>
    <x v="1"/>
    <m/>
  </r>
  <r>
    <x v="0"/>
    <x v="4"/>
    <s v="Paseo"/>
    <s v="Medium"/>
    <n v="727"/>
    <n v="10"/>
    <n v="350"/>
    <n v="254450"/>
    <n v="15267"/>
    <x v="224"/>
    <n v="189020"/>
    <x v="221"/>
    <d v="2013-10-01T00:00:00"/>
    <n v="10"/>
    <s v="October"/>
    <x v="1"/>
    <m/>
  </r>
  <r>
    <x v="3"/>
    <x v="0"/>
    <s v="Velo"/>
    <s v="Medium"/>
    <n v="952"/>
    <n v="120"/>
    <n v="125"/>
    <n v="119000"/>
    <n v="7140"/>
    <x v="225"/>
    <n v="114240"/>
    <x v="222"/>
    <d v="2014-02-01T00:00:00"/>
    <n v="2"/>
    <s v="February"/>
    <x v="0"/>
    <m/>
  </r>
  <r>
    <x v="3"/>
    <x v="4"/>
    <s v="Velo"/>
    <s v="Medium"/>
    <n v="2755"/>
    <n v="120"/>
    <n v="125"/>
    <n v="344375"/>
    <n v="20662.5"/>
    <x v="226"/>
    <n v="330600"/>
    <x v="223"/>
    <d v="2014-02-01T00:00:00"/>
    <n v="2"/>
    <s v="February"/>
    <x v="0"/>
    <m/>
  </r>
  <r>
    <x v="1"/>
    <x v="1"/>
    <s v="Velo"/>
    <s v="Medium"/>
    <n v="1530"/>
    <n v="120"/>
    <n v="15"/>
    <n v="22950"/>
    <n v="1377"/>
    <x v="227"/>
    <n v="15300"/>
    <x v="224"/>
    <d v="2014-05-01T00:00:00"/>
    <n v="5"/>
    <s v="May"/>
    <x v="0"/>
    <m/>
  </r>
  <r>
    <x v="0"/>
    <x v="2"/>
    <s v="Velo"/>
    <s v="Medium"/>
    <n v="1496"/>
    <n v="120"/>
    <n v="350"/>
    <n v="523600"/>
    <n v="31416"/>
    <x v="223"/>
    <n v="388960"/>
    <x v="220"/>
    <d v="2014-06-01T00:00:00"/>
    <n v="6"/>
    <s v="June"/>
    <x v="0"/>
    <m/>
  </r>
  <r>
    <x v="0"/>
    <x v="3"/>
    <s v="Velo"/>
    <s v="Medium"/>
    <n v="1498"/>
    <n v="120"/>
    <n v="7"/>
    <n v="10486"/>
    <n v="629.16"/>
    <x v="228"/>
    <n v="7490"/>
    <x v="225"/>
    <d v="2014-06-01T00:00:00"/>
    <n v="6"/>
    <s v="June"/>
    <x v="0"/>
    <m/>
  </r>
  <r>
    <x v="4"/>
    <x v="2"/>
    <s v="Velo"/>
    <s v="Medium"/>
    <n v="1221"/>
    <n v="120"/>
    <n v="300"/>
    <n v="366300"/>
    <n v="21978"/>
    <x v="229"/>
    <n v="305250"/>
    <x v="226"/>
    <d v="2013-10-01T00:00:00"/>
    <n v="10"/>
    <s v="October"/>
    <x v="1"/>
    <m/>
  </r>
  <r>
    <x v="0"/>
    <x v="2"/>
    <s v="Velo"/>
    <s v="Medium"/>
    <n v="2076"/>
    <n v="120"/>
    <n v="350"/>
    <n v="726600"/>
    <n v="43596"/>
    <x v="230"/>
    <n v="539760"/>
    <x v="227"/>
    <d v="2013-10-01T00:00:00"/>
    <n v="10"/>
    <s v="October"/>
    <x v="1"/>
    <m/>
  </r>
  <r>
    <x v="1"/>
    <x v="0"/>
    <s v="VTT"/>
    <s v="Medium"/>
    <n v="2844"/>
    <n v="250"/>
    <n v="15"/>
    <n v="42660"/>
    <n v="2559.6"/>
    <x v="213"/>
    <n v="28440"/>
    <x v="210"/>
    <d v="2014-06-01T00:00:00"/>
    <n v="6"/>
    <s v="June"/>
    <x v="0"/>
    <m/>
  </r>
  <r>
    <x v="0"/>
    <x v="3"/>
    <s v="VTT"/>
    <s v="Medium"/>
    <n v="1498"/>
    <n v="250"/>
    <n v="7"/>
    <n v="10486"/>
    <n v="629.16"/>
    <x v="228"/>
    <n v="7490"/>
    <x v="225"/>
    <d v="2014-06-01T00:00:00"/>
    <n v="6"/>
    <s v="June"/>
    <x v="0"/>
    <m/>
  </r>
  <r>
    <x v="4"/>
    <x v="2"/>
    <s v="VTT"/>
    <s v="Medium"/>
    <n v="1221"/>
    <n v="250"/>
    <n v="300"/>
    <n v="366300"/>
    <n v="21978"/>
    <x v="229"/>
    <n v="305250"/>
    <x v="226"/>
    <d v="2013-10-01T00:00:00"/>
    <n v="10"/>
    <s v="October"/>
    <x v="1"/>
    <m/>
  </r>
  <r>
    <x v="0"/>
    <x v="3"/>
    <s v="VTT"/>
    <s v="Medium"/>
    <n v="1123"/>
    <n v="250"/>
    <n v="20"/>
    <n v="22460"/>
    <n v="1347.6"/>
    <x v="231"/>
    <n v="11230"/>
    <x v="228"/>
    <d v="2013-11-01T00:00:00"/>
    <n v="11"/>
    <s v="November"/>
    <x v="1"/>
    <m/>
  </r>
  <r>
    <x v="4"/>
    <x v="0"/>
    <s v="VTT"/>
    <s v="Medium"/>
    <n v="2436"/>
    <n v="250"/>
    <n v="300"/>
    <n v="730800"/>
    <n v="43848"/>
    <x v="232"/>
    <n v="609000"/>
    <x v="229"/>
    <d v="2013-12-01T00:00:00"/>
    <n v="12"/>
    <s v="December"/>
    <x v="1"/>
    <m/>
  </r>
  <r>
    <x v="3"/>
    <x v="2"/>
    <s v="Amarilla"/>
    <s v="Medium"/>
    <n v="1987.5"/>
    <n v="260"/>
    <n v="125"/>
    <n v="248437.5"/>
    <n v="14906.25"/>
    <x v="233"/>
    <n v="238500"/>
    <x v="230"/>
    <d v="2014-01-01T00:00:00"/>
    <n v="1"/>
    <s v="January"/>
    <x v="0"/>
    <m/>
  </r>
  <r>
    <x v="0"/>
    <x v="3"/>
    <s v="Amarilla"/>
    <s v="Medium"/>
    <n v="1679"/>
    <n v="260"/>
    <n v="350"/>
    <n v="587650"/>
    <n v="35259"/>
    <x v="234"/>
    <n v="436540"/>
    <x v="231"/>
    <d v="2014-09-01T00:00:00"/>
    <n v="9"/>
    <s v="September"/>
    <x v="0"/>
    <m/>
  </r>
  <r>
    <x v="0"/>
    <x v="4"/>
    <s v="Amarilla"/>
    <s v="Medium"/>
    <n v="727"/>
    <n v="260"/>
    <n v="350"/>
    <n v="254450"/>
    <n v="15267"/>
    <x v="224"/>
    <n v="189020"/>
    <x v="221"/>
    <d v="2013-10-01T00:00:00"/>
    <n v="10"/>
    <s v="October"/>
    <x v="1"/>
    <m/>
  </r>
  <r>
    <x v="0"/>
    <x v="2"/>
    <s v="Amarilla"/>
    <s v="Medium"/>
    <n v="1403"/>
    <n v="260"/>
    <n v="7"/>
    <n v="9821"/>
    <n v="589.26"/>
    <x v="221"/>
    <n v="7015"/>
    <x v="218"/>
    <d v="2013-10-01T00:00:00"/>
    <n v="10"/>
    <s v="October"/>
    <x v="1"/>
    <m/>
  </r>
  <r>
    <x v="0"/>
    <x v="2"/>
    <s v="Amarilla"/>
    <s v="Medium"/>
    <n v="2076"/>
    <n v="260"/>
    <n v="350"/>
    <n v="726600"/>
    <n v="43596"/>
    <x v="230"/>
    <n v="539760"/>
    <x v="227"/>
    <d v="2013-10-01T00:00:00"/>
    <n v="10"/>
    <s v="October"/>
    <x v="1"/>
    <m/>
  </r>
  <r>
    <x v="0"/>
    <x v="2"/>
    <s v="Montana"/>
    <s v="Medium"/>
    <n v="1757"/>
    <n v="5"/>
    <n v="20"/>
    <n v="35140"/>
    <n v="2108.4"/>
    <x v="235"/>
    <n v="17570"/>
    <x v="232"/>
    <d v="2013-10-01T00:00:00"/>
    <n v="10"/>
    <s v="October"/>
    <x v="1"/>
    <m/>
  </r>
  <r>
    <x v="1"/>
    <x v="4"/>
    <s v="Paseo"/>
    <s v="Medium"/>
    <n v="2198"/>
    <n v="10"/>
    <n v="15"/>
    <n v="32970"/>
    <n v="1978.2"/>
    <x v="236"/>
    <n v="21980"/>
    <x v="233"/>
    <d v="2014-08-01T00:00:00"/>
    <n v="8"/>
    <s v="August"/>
    <x v="0"/>
    <m/>
  </r>
  <r>
    <x v="1"/>
    <x v="1"/>
    <s v="Paseo"/>
    <s v="Medium"/>
    <n v="1743"/>
    <n v="10"/>
    <n v="15"/>
    <n v="26145"/>
    <n v="1568.7"/>
    <x v="237"/>
    <n v="17430"/>
    <x v="234"/>
    <d v="2014-08-01T00:00:00"/>
    <n v="8"/>
    <s v="August"/>
    <x v="0"/>
    <m/>
  </r>
  <r>
    <x v="1"/>
    <x v="4"/>
    <s v="Paseo"/>
    <s v="Medium"/>
    <n v="1153"/>
    <n v="10"/>
    <n v="15"/>
    <n v="17295"/>
    <n v="1037.7"/>
    <x v="238"/>
    <n v="11530"/>
    <x v="235"/>
    <d v="2014-10-01T00:00:00"/>
    <n v="10"/>
    <s v="October"/>
    <x v="0"/>
    <m/>
  </r>
  <r>
    <x v="0"/>
    <x v="2"/>
    <s v="Paseo"/>
    <s v="Medium"/>
    <n v="1757"/>
    <n v="10"/>
    <n v="20"/>
    <n v="35140"/>
    <n v="2108.4"/>
    <x v="235"/>
    <n v="17570"/>
    <x v="232"/>
    <d v="2013-10-01T00:00:00"/>
    <n v="10"/>
    <s v="October"/>
    <x v="1"/>
    <m/>
  </r>
  <r>
    <x v="0"/>
    <x v="1"/>
    <s v="Velo"/>
    <s v="Medium"/>
    <n v="1001"/>
    <n v="120"/>
    <n v="20"/>
    <n v="20020"/>
    <n v="1201.2"/>
    <x v="239"/>
    <n v="10010"/>
    <x v="236"/>
    <d v="2014-08-01T00:00:00"/>
    <n v="8"/>
    <s v="August"/>
    <x v="0"/>
    <m/>
  </r>
  <r>
    <x v="0"/>
    <x v="3"/>
    <s v="Velo"/>
    <s v="Medium"/>
    <n v="1333"/>
    <n v="120"/>
    <n v="7"/>
    <n v="9331"/>
    <n v="559.86"/>
    <x v="240"/>
    <n v="6665"/>
    <x v="237"/>
    <d v="2014-11-01T00:00:00"/>
    <n v="11"/>
    <s v="November"/>
    <x v="0"/>
    <m/>
  </r>
  <r>
    <x v="1"/>
    <x v="4"/>
    <s v="VTT"/>
    <s v="Medium"/>
    <n v="1153"/>
    <n v="250"/>
    <n v="15"/>
    <n v="17295"/>
    <n v="1037.7"/>
    <x v="238"/>
    <n v="11530"/>
    <x v="235"/>
    <d v="2014-10-01T00:00:00"/>
    <n v="10"/>
    <s v="October"/>
    <x v="0"/>
    <m/>
  </r>
  <r>
    <x v="2"/>
    <x v="3"/>
    <s v="Carretera"/>
    <s v="Medium"/>
    <n v="727"/>
    <n v="3"/>
    <n v="12"/>
    <n v="8724"/>
    <n v="610.67999999999995"/>
    <x v="241"/>
    <n v="2181"/>
    <x v="238"/>
    <d v="2014-02-01T00:00:00"/>
    <n v="2"/>
    <s v="February"/>
    <x v="0"/>
    <m/>
  </r>
  <r>
    <x v="2"/>
    <x v="0"/>
    <s v="Carretera"/>
    <s v="Medium"/>
    <n v="1884"/>
    <n v="3"/>
    <n v="12"/>
    <n v="22608"/>
    <n v="1582.56"/>
    <x v="242"/>
    <n v="5652"/>
    <x v="239"/>
    <d v="2014-08-01T00:00:00"/>
    <n v="8"/>
    <s v="August"/>
    <x v="0"/>
    <m/>
  </r>
  <r>
    <x v="0"/>
    <x v="3"/>
    <s v="Carretera"/>
    <s v="Medium"/>
    <n v="1834"/>
    <n v="3"/>
    <n v="20"/>
    <n v="36680"/>
    <n v="2567.6"/>
    <x v="243"/>
    <n v="18340"/>
    <x v="240"/>
    <d v="2013-09-01T00:00:00"/>
    <n v="9"/>
    <s v="September"/>
    <x v="1"/>
    <m/>
  </r>
  <r>
    <x v="2"/>
    <x v="3"/>
    <s v="Montana"/>
    <s v="Medium"/>
    <n v="2340"/>
    <n v="5"/>
    <n v="12"/>
    <n v="28080"/>
    <n v="1965.6"/>
    <x v="244"/>
    <n v="7020"/>
    <x v="241"/>
    <d v="2014-01-01T00:00:00"/>
    <n v="1"/>
    <s v="January"/>
    <x v="0"/>
    <m/>
  </r>
  <r>
    <x v="2"/>
    <x v="2"/>
    <s v="Montana"/>
    <s v="Medium"/>
    <n v="2342"/>
    <n v="5"/>
    <n v="12"/>
    <n v="28104"/>
    <n v="1967.28"/>
    <x v="245"/>
    <n v="7026"/>
    <x v="242"/>
    <d v="2014-11-01T00:00:00"/>
    <n v="11"/>
    <s v="November"/>
    <x v="0"/>
    <m/>
  </r>
  <r>
    <x v="0"/>
    <x v="2"/>
    <s v="Paseo"/>
    <s v="Medium"/>
    <n v="1031"/>
    <n v="10"/>
    <n v="7"/>
    <n v="7217"/>
    <n v="505.19"/>
    <x v="246"/>
    <n v="5155"/>
    <x v="243"/>
    <d v="2013-09-01T00:00:00"/>
    <n v="9"/>
    <s v="September"/>
    <x v="1"/>
    <m/>
  </r>
  <r>
    <x v="1"/>
    <x v="0"/>
    <s v="Velo"/>
    <s v="Medium"/>
    <n v="1262"/>
    <n v="120"/>
    <n v="15"/>
    <n v="18930"/>
    <n v="1325.1"/>
    <x v="247"/>
    <n v="12620"/>
    <x v="244"/>
    <d v="2014-05-01T00:00:00"/>
    <n v="5"/>
    <s v="May"/>
    <x v="0"/>
    <m/>
  </r>
  <r>
    <x v="0"/>
    <x v="0"/>
    <s v="Velo"/>
    <s v="Medium"/>
    <n v="1135"/>
    <n v="120"/>
    <n v="7"/>
    <n v="7945"/>
    <n v="556.15"/>
    <x v="248"/>
    <n v="5675"/>
    <x v="245"/>
    <d v="2014-06-01T00:00:00"/>
    <n v="6"/>
    <s v="June"/>
    <x v="0"/>
    <m/>
  </r>
  <r>
    <x v="0"/>
    <x v="4"/>
    <s v="Velo"/>
    <s v="Medium"/>
    <n v="547"/>
    <n v="120"/>
    <n v="7"/>
    <n v="3829"/>
    <n v="268.02999999999997"/>
    <x v="249"/>
    <n v="2735"/>
    <x v="246"/>
    <d v="2014-11-01T00:00:00"/>
    <n v="11"/>
    <s v="November"/>
    <x v="0"/>
    <m/>
  </r>
  <r>
    <x v="0"/>
    <x v="0"/>
    <s v="Velo"/>
    <s v="Medium"/>
    <n v="1582"/>
    <n v="120"/>
    <n v="7"/>
    <n v="11074"/>
    <n v="775.18"/>
    <x v="250"/>
    <n v="7910"/>
    <x v="247"/>
    <d v="2014-12-01T00:00:00"/>
    <n v="12"/>
    <s v="December"/>
    <x v="0"/>
    <m/>
  </r>
  <r>
    <x v="2"/>
    <x v="2"/>
    <s v="VTT"/>
    <s v="Medium"/>
    <n v="1738.5"/>
    <n v="250"/>
    <n v="12"/>
    <n v="20862"/>
    <n v="1460.34"/>
    <x v="251"/>
    <n v="5215.5"/>
    <x v="248"/>
    <d v="2014-04-01T00:00:00"/>
    <n v="4"/>
    <s v="April"/>
    <x v="0"/>
    <m/>
  </r>
  <r>
    <x v="2"/>
    <x v="1"/>
    <s v="VTT"/>
    <s v="Medium"/>
    <n v="2215"/>
    <n v="250"/>
    <n v="12"/>
    <n v="26580"/>
    <n v="1860.6"/>
    <x v="252"/>
    <n v="6645"/>
    <x v="249"/>
    <d v="2013-09-01T00:00:00"/>
    <n v="9"/>
    <s v="September"/>
    <x v="1"/>
    <m/>
  </r>
  <r>
    <x v="0"/>
    <x v="0"/>
    <s v="VTT"/>
    <s v="Medium"/>
    <n v="1582"/>
    <n v="250"/>
    <n v="7"/>
    <n v="11074"/>
    <n v="775.18"/>
    <x v="250"/>
    <n v="7910"/>
    <x v="247"/>
    <d v="2014-12-01T00:00:00"/>
    <n v="12"/>
    <s v="December"/>
    <x v="0"/>
    <m/>
  </r>
  <r>
    <x v="0"/>
    <x v="0"/>
    <s v="Amarilla"/>
    <s v="Medium"/>
    <n v="1135"/>
    <n v="260"/>
    <n v="7"/>
    <n v="7945"/>
    <n v="556.15"/>
    <x v="248"/>
    <n v="5675"/>
    <x v="245"/>
    <d v="2014-06-01T00:00:00"/>
    <n v="6"/>
    <s v="June"/>
    <x v="0"/>
    <m/>
  </r>
  <r>
    <x v="0"/>
    <x v="4"/>
    <s v="Carretera"/>
    <s v="Medium"/>
    <n v="1761"/>
    <n v="3"/>
    <n v="350"/>
    <n v="616350"/>
    <n v="43144.5"/>
    <x v="253"/>
    <n v="457860"/>
    <x v="250"/>
    <d v="2014-03-01T00:00:00"/>
    <n v="3"/>
    <s v="March"/>
    <x v="0"/>
    <m/>
  </r>
  <r>
    <x v="4"/>
    <x v="2"/>
    <s v="Carretera"/>
    <s v="Medium"/>
    <n v="448"/>
    <n v="3"/>
    <n v="300"/>
    <n v="134400"/>
    <n v="9408"/>
    <x v="254"/>
    <n v="112000"/>
    <x v="251"/>
    <d v="2014-06-01T00:00:00"/>
    <n v="6"/>
    <s v="June"/>
    <x v="0"/>
    <m/>
  </r>
  <r>
    <x v="4"/>
    <x v="2"/>
    <s v="Carretera"/>
    <s v="Medium"/>
    <n v="2181"/>
    <n v="3"/>
    <n v="300"/>
    <n v="654300"/>
    <n v="45801"/>
    <x v="255"/>
    <n v="545250"/>
    <x v="252"/>
    <d v="2014-10-01T00:00:00"/>
    <n v="10"/>
    <s v="October"/>
    <x v="0"/>
    <m/>
  </r>
  <r>
    <x v="0"/>
    <x v="2"/>
    <s v="Montana"/>
    <s v="Medium"/>
    <n v="1976"/>
    <n v="5"/>
    <n v="20"/>
    <n v="39520"/>
    <n v="2766.4"/>
    <x v="256"/>
    <n v="19760"/>
    <x v="253"/>
    <d v="2014-10-01T00:00:00"/>
    <n v="10"/>
    <s v="October"/>
    <x v="0"/>
    <m/>
  </r>
  <r>
    <x v="4"/>
    <x v="2"/>
    <s v="Montana"/>
    <s v="Medium"/>
    <n v="2181"/>
    <n v="5"/>
    <n v="300"/>
    <n v="654300"/>
    <n v="45801"/>
    <x v="255"/>
    <n v="545250"/>
    <x v="252"/>
    <d v="2014-10-01T00:00:00"/>
    <n v="10"/>
    <s v="October"/>
    <x v="0"/>
    <m/>
  </r>
  <r>
    <x v="3"/>
    <x v="1"/>
    <s v="Montana"/>
    <s v="Medium"/>
    <n v="2500"/>
    <n v="5"/>
    <n v="125"/>
    <n v="312500"/>
    <n v="21875"/>
    <x v="257"/>
    <n v="300000"/>
    <x v="254"/>
    <d v="2013-11-01T00:00:00"/>
    <n v="11"/>
    <s v="November"/>
    <x v="1"/>
    <m/>
  </r>
  <r>
    <x v="4"/>
    <x v="0"/>
    <s v="Paseo"/>
    <s v="Medium"/>
    <n v="1702"/>
    <n v="10"/>
    <n v="300"/>
    <n v="510600"/>
    <n v="35742"/>
    <x v="258"/>
    <n v="425500"/>
    <x v="255"/>
    <d v="2014-05-01T00:00:00"/>
    <n v="5"/>
    <s v="May"/>
    <x v="0"/>
    <m/>
  </r>
  <r>
    <x v="4"/>
    <x v="2"/>
    <s v="Paseo"/>
    <s v="Medium"/>
    <n v="448"/>
    <n v="10"/>
    <n v="300"/>
    <n v="134400"/>
    <n v="9408"/>
    <x v="254"/>
    <n v="112000"/>
    <x v="251"/>
    <d v="2014-06-01T00:00:00"/>
    <n v="6"/>
    <s v="June"/>
    <x v="0"/>
    <m/>
  </r>
  <r>
    <x v="3"/>
    <x v="1"/>
    <s v="Paseo"/>
    <s v="Medium"/>
    <n v="3513"/>
    <n v="10"/>
    <n v="125"/>
    <n v="439125"/>
    <n v="30738.75"/>
    <x v="259"/>
    <n v="421560"/>
    <x v="256"/>
    <d v="2014-07-01T00:00:00"/>
    <n v="7"/>
    <s v="July"/>
    <x v="0"/>
    <m/>
  </r>
  <r>
    <x v="1"/>
    <x v="2"/>
    <s v="Paseo"/>
    <s v="Medium"/>
    <n v="2101"/>
    <n v="10"/>
    <n v="15"/>
    <n v="31515"/>
    <n v="2206.0500000000002"/>
    <x v="260"/>
    <n v="21010"/>
    <x v="257"/>
    <d v="2014-08-01T00:00:00"/>
    <n v="8"/>
    <s v="August"/>
    <x v="0"/>
    <m/>
  </r>
  <r>
    <x v="1"/>
    <x v="4"/>
    <s v="Paseo"/>
    <s v="Medium"/>
    <n v="2931"/>
    <n v="10"/>
    <n v="15"/>
    <n v="43965"/>
    <n v="3077.55"/>
    <x v="261"/>
    <n v="29310"/>
    <x v="258"/>
    <d v="2013-09-01T00:00:00"/>
    <n v="9"/>
    <s v="September"/>
    <x v="1"/>
    <m/>
  </r>
  <r>
    <x v="0"/>
    <x v="2"/>
    <s v="Paseo"/>
    <s v="Medium"/>
    <n v="1535"/>
    <n v="10"/>
    <n v="20"/>
    <n v="30700"/>
    <n v="2149"/>
    <x v="262"/>
    <n v="15350"/>
    <x v="259"/>
    <d v="2014-09-01T00:00:00"/>
    <n v="9"/>
    <s v="September"/>
    <x v="0"/>
    <m/>
  </r>
  <r>
    <x v="4"/>
    <x v="1"/>
    <s v="Paseo"/>
    <s v="Medium"/>
    <n v="1123"/>
    <n v="10"/>
    <n v="300"/>
    <n v="336900"/>
    <n v="23583"/>
    <x v="263"/>
    <n v="280750"/>
    <x v="260"/>
    <d v="2013-09-01T00:00:00"/>
    <n v="9"/>
    <s v="September"/>
    <x v="1"/>
    <m/>
  </r>
  <r>
    <x v="4"/>
    <x v="0"/>
    <s v="Paseo"/>
    <s v="Medium"/>
    <n v="1404"/>
    <n v="10"/>
    <n v="300"/>
    <n v="421200"/>
    <n v="29484"/>
    <x v="264"/>
    <n v="351000"/>
    <x v="261"/>
    <d v="2013-11-01T00:00:00"/>
    <n v="11"/>
    <s v="November"/>
    <x v="1"/>
    <m/>
  </r>
  <r>
    <x v="2"/>
    <x v="3"/>
    <s v="Paseo"/>
    <s v="Medium"/>
    <n v="2763"/>
    <n v="10"/>
    <n v="12"/>
    <n v="33156"/>
    <n v="2320.92"/>
    <x v="265"/>
    <n v="8289"/>
    <x v="262"/>
    <d v="2013-11-01T00:00:00"/>
    <n v="11"/>
    <s v="November"/>
    <x v="1"/>
    <m/>
  </r>
  <r>
    <x v="0"/>
    <x v="1"/>
    <s v="Paseo"/>
    <s v="Medium"/>
    <n v="2125"/>
    <n v="10"/>
    <n v="7"/>
    <n v="14875"/>
    <n v="1041.25"/>
    <x v="266"/>
    <n v="10625"/>
    <x v="263"/>
    <d v="2013-12-01T00:00:00"/>
    <n v="12"/>
    <s v="December"/>
    <x v="1"/>
    <m/>
  </r>
  <r>
    <x v="4"/>
    <x v="2"/>
    <s v="Velo"/>
    <s v="Medium"/>
    <n v="1659"/>
    <n v="120"/>
    <n v="300"/>
    <n v="497700"/>
    <n v="34839"/>
    <x v="267"/>
    <n v="414750"/>
    <x v="264"/>
    <d v="2014-07-01T00:00:00"/>
    <n v="7"/>
    <s v="July"/>
    <x v="0"/>
    <m/>
  </r>
  <r>
    <x v="0"/>
    <x v="3"/>
    <s v="Velo"/>
    <s v="Medium"/>
    <n v="609"/>
    <n v="120"/>
    <n v="20"/>
    <n v="12180"/>
    <n v="852.6"/>
    <x v="268"/>
    <n v="6090"/>
    <x v="265"/>
    <d v="2014-08-01T00:00:00"/>
    <n v="8"/>
    <s v="August"/>
    <x v="0"/>
    <m/>
  </r>
  <r>
    <x v="3"/>
    <x v="1"/>
    <s v="Velo"/>
    <s v="Medium"/>
    <n v="2087"/>
    <n v="120"/>
    <n v="125"/>
    <n v="260875"/>
    <n v="18261.25"/>
    <x v="269"/>
    <n v="250440"/>
    <x v="266"/>
    <d v="2014-09-01T00:00:00"/>
    <n v="9"/>
    <s v="September"/>
    <x v="0"/>
    <m/>
  </r>
  <r>
    <x v="0"/>
    <x v="2"/>
    <s v="Velo"/>
    <s v="Medium"/>
    <n v="1976"/>
    <n v="120"/>
    <n v="20"/>
    <n v="39520"/>
    <n v="2766.4"/>
    <x v="256"/>
    <n v="19760"/>
    <x v="253"/>
    <d v="2014-10-01T00:00:00"/>
    <n v="10"/>
    <s v="October"/>
    <x v="0"/>
    <m/>
  </r>
  <r>
    <x v="0"/>
    <x v="4"/>
    <s v="Velo"/>
    <s v="Medium"/>
    <n v="1421"/>
    <n v="120"/>
    <n v="20"/>
    <n v="28420"/>
    <n v="1989.4"/>
    <x v="270"/>
    <n v="14210"/>
    <x v="267"/>
    <d v="2013-12-01T00:00:00"/>
    <n v="12"/>
    <s v="December"/>
    <x v="1"/>
    <m/>
  </r>
  <r>
    <x v="4"/>
    <x v="4"/>
    <s v="Velo"/>
    <s v="Medium"/>
    <n v="1372"/>
    <n v="120"/>
    <n v="300"/>
    <n v="411600"/>
    <n v="28812"/>
    <x v="271"/>
    <n v="343000"/>
    <x v="268"/>
    <d v="2014-12-01T00:00:00"/>
    <n v="12"/>
    <s v="December"/>
    <x v="0"/>
    <m/>
  </r>
  <r>
    <x v="0"/>
    <x v="1"/>
    <s v="Velo"/>
    <s v="Medium"/>
    <n v="588"/>
    <n v="120"/>
    <n v="20"/>
    <n v="11760"/>
    <n v="823.2"/>
    <x v="272"/>
    <n v="5880"/>
    <x v="269"/>
    <d v="2013-12-01T00:00:00"/>
    <n v="12"/>
    <s v="December"/>
    <x v="1"/>
    <m/>
  </r>
  <r>
    <x v="2"/>
    <x v="0"/>
    <s v="VTT"/>
    <s v="Medium"/>
    <n v="3244.5"/>
    <n v="250"/>
    <n v="12"/>
    <n v="38934"/>
    <n v="2725.38"/>
    <x v="273"/>
    <n v="9733.5"/>
    <x v="270"/>
    <d v="2014-01-01T00:00:00"/>
    <n v="1"/>
    <s v="January"/>
    <x v="0"/>
    <m/>
  </r>
  <r>
    <x v="4"/>
    <x v="2"/>
    <s v="VTT"/>
    <s v="Medium"/>
    <n v="959"/>
    <n v="250"/>
    <n v="300"/>
    <n v="287700"/>
    <n v="20139"/>
    <x v="274"/>
    <n v="239750"/>
    <x v="271"/>
    <d v="2014-02-01T00:00:00"/>
    <n v="2"/>
    <s v="February"/>
    <x v="0"/>
    <m/>
  </r>
  <r>
    <x v="4"/>
    <x v="3"/>
    <s v="VTT"/>
    <s v="Medium"/>
    <n v="2747"/>
    <n v="250"/>
    <n v="300"/>
    <n v="824100"/>
    <n v="57687"/>
    <x v="275"/>
    <n v="686750"/>
    <x v="272"/>
    <d v="2014-02-01T00:00:00"/>
    <n v="2"/>
    <s v="February"/>
    <x v="0"/>
    <m/>
  </r>
  <r>
    <x v="3"/>
    <x v="0"/>
    <s v="Amarilla"/>
    <s v="Medium"/>
    <n v="1645"/>
    <n v="260"/>
    <n v="125"/>
    <n v="205625"/>
    <n v="14393.75"/>
    <x v="276"/>
    <n v="197400"/>
    <x v="273"/>
    <d v="2014-05-01T00:00:00"/>
    <n v="5"/>
    <s v="May"/>
    <x v="0"/>
    <m/>
  </r>
  <r>
    <x v="0"/>
    <x v="2"/>
    <s v="Amarilla"/>
    <s v="Medium"/>
    <n v="2876"/>
    <n v="260"/>
    <n v="350"/>
    <n v="1006600"/>
    <n v="70462"/>
    <x v="277"/>
    <n v="747760"/>
    <x v="274"/>
    <d v="2014-09-01T00:00:00"/>
    <n v="9"/>
    <s v="September"/>
    <x v="0"/>
    <m/>
  </r>
  <r>
    <x v="3"/>
    <x v="1"/>
    <s v="Amarilla"/>
    <s v="Medium"/>
    <n v="994"/>
    <n v="260"/>
    <n v="125"/>
    <n v="124250"/>
    <n v="8697.5"/>
    <x v="278"/>
    <n v="119280"/>
    <x v="275"/>
    <d v="2013-09-01T00:00:00"/>
    <n v="9"/>
    <s v="September"/>
    <x v="1"/>
    <m/>
  </r>
  <r>
    <x v="0"/>
    <x v="0"/>
    <s v="Amarilla"/>
    <s v="Medium"/>
    <n v="1118"/>
    <n v="260"/>
    <n v="20"/>
    <n v="22360"/>
    <n v="1565.2"/>
    <x v="279"/>
    <n v="11180"/>
    <x v="276"/>
    <d v="2014-11-01T00:00:00"/>
    <n v="11"/>
    <s v="November"/>
    <x v="0"/>
    <m/>
  </r>
  <r>
    <x v="4"/>
    <x v="4"/>
    <s v="Amarilla"/>
    <s v="Medium"/>
    <n v="1372"/>
    <n v="260"/>
    <n v="300"/>
    <n v="411600"/>
    <n v="28812"/>
    <x v="271"/>
    <n v="343000"/>
    <x v="268"/>
    <d v="2014-12-01T00:00:00"/>
    <n v="12"/>
    <s v="December"/>
    <x v="0"/>
    <m/>
  </r>
  <r>
    <x v="0"/>
    <x v="0"/>
    <s v="Montana"/>
    <s v="Medium"/>
    <n v="488"/>
    <n v="5"/>
    <n v="7"/>
    <n v="3416"/>
    <n v="273.27999999999997"/>
    <x v="280"/>
    <n v="2440"/>
    <x v="277"/>
    <d v="2014-02-01T00:00:00"/>
    <n v="2"/>
    <s v="February"/>
    <x v="0"/>
    <m/>
  </r>
  <r>
    <x v="0"/>
    <x v="4"/>
    <s v="Montana"/>
    <s v="Medium"/>
    <n v="1282"/>
    <n v="5"/>
    <n v="20"/>
    <n v="25640"/>
    <n v="2051.1999999999998"/>
    <x v="281"/>
    <n v="12820"/>
    <x v="278"/>
    <d v="2014-06-01T00:00:00"/>
    <n v="6"/>
    <s v="June"/>
    <x v="0"/>
    <m/>
  </r>
  <r>
    <x v="0"/>
    <x v="0"/>
    <s v="Paseo"/>
    <s v="Medium"/>
    <n v="257"/>
    <n v="10"/>
    <n v="7"/>
    <n v="1799"/>
    <n v="143.91999999999999"/>
    <x v="282"/>
    <n v="1285"/>
    <x v="279"/>
    <d v="2014-05-01T00:00:00"/>
    <n v="5"/>
    <s v="May"/>
    <x v="0"/>
    <m/>
  </r>
  <r>
    <x v="0"/>
    <x v="4"/>
    <s v="Amarilla"/>
    <s v="Medium"/>
    <n v="1282"/>
    <n v="260"/>
    <n v="20"/>
    <n v="25640"/>
    <n v="2051.1999999999998"/>
    <x v="281"/>
    <n v="12820"/>
    <x v="278"/>
    <d v="2014-06-01T00:00:00"/>
    <n v="6"/>
    <s v="June"/>
    <x v="0"/>
    <m/>
  </r>
  <r>
    <x v="3"/>
    <x v="3"/>
    <s v="Carretera"/>
    <s v="Medium"/>
    <n v="1540"/>
    <n v="3"/>
    <n v="125"/>
    <n v="192500"/>
    <n v="15400"/>
    <x v="283"/>
    <n v="184800"/>
    <x v="280"/>
    <d v="2014-08-01T00:00:00"/>
    <n v="8"/>
    <s v="August"/>
    <x v="0"/>
    <m/>
  </r>
  <r>
    <x v="1"/>
    <x v="2"/>
    <s v="Carretera"/>
    <s v="Medium"/>
    <n v="490"/>
    <n v="3"/>
    <n v="15"/>
    <n v="7350"/>
    <n v="588"/>
    <x v="284"/>
    <n v="4900"/>
    <x v="281"/>
    <d v="2014-11-01T00:00:00"/>
    <n v="11"/>
    <s v="November"/>
    <x v="0"/>
    <m/>
  </r>
  <r>
    <x v="0"/>
    <x v="3"/>
    <s v="Carretera"/>
    <s v="Medium"/>
    <n v="1362"/>
    <n v="3"/>
    <n v="350"/>
    <n v="476700"/>
    <n v="38136"/>
    <x v="285"/>
    <n v="354120"/>
    <x v="282"/>
    <d v="2014-12-01T00:00:00"/>
    <n v="12"/>
    <s v="December"/>
    <x v="0"/>
    <m/>
  </r>
  <r>
    <x v="1"/>
    <x v="2"/>
    <s v="Montana"/>
    <s v="Medium"/>
    <n v="2501"/>
    <n v="5"/>
    <n v="15"/>
    <n v="37515"/>
    <n v="3001.2"/>
    <x v="286"/>
    <n v="25010"/>
    <x v="283"/>
    <d v="2014-03-01T00:00:00"/>
    <n v="3"/>
    <s v="March"/>
    <x v="0"/>
    <m/>
  </r>
  <r>
    <x v="0"/>
    <x v="0"/>
    <s v="Montana"/>
    <s v="Medium"/>
    <n v="708"/>
    <n v="5"/>
    <n v="20"/>
    <n v="14160"/>
    <n v="1132.8"/>
    <x v="287"/>
    <n v="7080"/>
    <x v="284"/>
    <d v="2014-06-01T00:00:00"/>
    <n v="6"/>
    <s v="June"/>
    <x v="0"/>
    <m/>
  </r>
  <r>
    <x v="0"/>
    <x v="1"/>
    <s v="Montana"/>
    <s v="Medium"/>
    <n v="645"/>
    <n v="5"/>
    <n v="20"/>
    <n v="12900"/>
    <n v="1032"/>
    <x v="288"/>
    <n v="6450"/>
    <x v="285"/>
    <d v="2014-07-01T00:00:00"/>
    <n v="7"/>
    <s v="July"/>
    <x v="0"/>
    <m/>
  </r>
  <r>
    <x v="4"/>
    <x v="2"/>
    <s v="Montana"/>
    <s v="Medium"/>
    <n v="1562"/>
    <n v="5"/>
    <n v="300"/>
    <n v="468600"/>
    <n v="37488"/>
    <x v="289"/>
    <n v="390500"/>
    <x v="286"/>
    <d v="2014-08-01T00:00:00"/>
    <n v="8"/>
    <s v="August"/>
    <x v="0"/>
    <m/>
  </r>
  <r>
    <x v="4"/>
    <x v="0"/>
    <s v="Montana"/>
    <s v="Medium"/>
    <n v="1283"/>
    <n v="5"/>
    <n v="300"/>
    <n v="384900"/>
    <n v="30792"/>
    <x v="290"/>
    <n v="320750"/>
    <x v="287"/>
    <d v="2013-09-01T00:00:00"/>
    <n v="9"/>
    <s v="September"/>
    <x v="1"/>
    <m/>
  </r>
  <r>
    <x v="1"/>
    <x v="1"/>
    <s v="Montana"/>
    <s v="Medium"/>
    <n v="711"/>
    <n v="5"/>
    <n v="15"/>
    <n v="10665"/>
    <n v="853.2"/>
    <x v="291"/>
    <n v="7110"/>
    <x v="288"/>
    <d v="2014-12-01T00:00:00"/>
    <n v="12"/>
    <s v="December"/>
    <x v="0"/>
    <m/>
  </r>
  <r>
    <x v="3"/>
    <x v="3"/>
    <s v="Paseo"/>
    <s v="Medium"/>
    <n v="1114"/>
    <n v="10"/>
    <n v="125"/>
    <n v="139250"/>
    <n v="11140"/>
    <x v="292"/>
    <n v="133680"/>
    <x v="289"/>
    <d v="2014-03-01T00:00:00"/>
    <n v="3"/>
    <s v="March"/>
    <x v="0"/>
    <m/>
  </r>
  <r>
    <x v="0"/>
    <x v="1"/>
    <s v="Paseo"/>
    <s v="Medium"/>
    <n v="1259"/>
    <n v="10"/>
    <n v="7"/>
    <n v="8813"/>
    <n v="705.04"/>
    <x v="293"/>
    <n v="6295"/>
    <x v="290"/>
    <d v="2014-04-01T00:00:00"/>
    <n v="4"/>
    <s v="April"/>
    <x v="0"/>
    <m/>
  </r>
  <r>
    <x v="0"/>
    <x v="1"/>
    <s v="Paseo"/>
    <s v="Medium"/>
    <n v="1095"/>
    <n v="10"/>
    <n v="7"/>
    <n v="7665"/>
    <n v="613.20000000000005"/>
    <x v="294"/>
    <n v="5475"/>
    <x v="291"/>
    <d v="2014-05-01T00:00:00"/>
    <n v="5"/>
    <s v="May"/>
    <x v="0"/>
    <m/>
  </r>
  <r>
    <x v="0"/>
    <x v="1"/>
    <s v="Paseo"/>
    <s v="Medium"/>
    <n v="1366"/>
    <n v="10"/>
    <n v="20"/>
    <n v="27320"/>
    <n v="2185.6"/>
    <x v="295"/>
    <n v="13660"/>
    <x v="292"/>
    <d v="2014-06-01T00:00:00"/>
    <n v="6"/>
    <s v="June"/>
    <x v="0"/>
    <m/>
  </r>
  <r>
    <x v="4"/>
    <x v="3"/>
    <s v="Paseo"/>
    <s v="Medium"/>
    <n v="2460"/>
    <n v="10"/>
    <n v="300"/>
    <n v="738000"/>
    <n v="59040"/>
    <x v="296"/>
    <n v="615000"/>
    <x v="293"/>
    <d v="2014-06-01T00:00:00"/>
    <n v="6"/>
    <s v="June"/>
    <x v="0"/>
    <m/>
  </r>
  <r>
    <x v="0"/>
    <x v="4"/>
    <s v="Paseo"/>
    <s v="Medium"/>
    <n v="678"/>
    <n v="10"/>
    <n v="7"/>
    <n v="4746"/>
    <n v="379.68"/>
    <x v="297"/>
    <n v="3390"/>
    <x v="294"/>
    <d v="2014-08-01T00:00:00"/>
    <n v="8"/>
    <s v="August"/>
    <x v="0"/>
    <m/>
  </r>
  <r>
    <x v="0"/>
    <x v="1"/>
    <s v="Paseo"/>
    <s v="Medium"/>
    <n v="1598"/>
    <n v="10"/>
    <n v="7"/>
    <n v="11186"/>
    <n v="894.88"/>
    <x v="298"/>
    <n v="7990"/>
    <x v="295"/>
    <d v="2014-08-01T00:00:00"/>
    <n v="8"/>
    <s v="August"/>
    <x v="0"/>
    <m/>
  </r>
  <r>
    <x v="0"/>
    <x v="1"/>
    <s v="Paseo"/>
    <s v="Medium"/>
    <n v="2409"/>
    <n v="10"/>
    <n v="7"/>
    <n v="16863"/>
    <n v="1349.04"/>
    <x v="299"/>
    <n v="12045"/>
    <x v="296"/>
    <d v="2013-09-01T00:00:00"/>
    <n v="9"/>
    <s v="September"/>
    <x v="1"/>
    <m/>
  </r>
  <r>
    <x v="0"/>
    <x v="1"/>
    <s v="Paseo"/>
    <s v="Medium"/>
    <n v="1934"/>
    <n v="10"/>
    <n v="20"/>
    <n v="38680"/>
    <n v="3094.4"/>
    <x v="300"/>
    <n v="19340"/>
    <x v="297"/>
    <d v="2014-09-01T00:00:00"/>
    <n v="9"/>
    <s v="September"/>
    <x v="0"/>
    <m/>
  </r>
  <r>
    <x v="0"/>
    <x v="3"/>
    <s v="Paseo"/>
    <s v="Medium"/>
    <n v="2993"/>
    <n v="10"/>
    <n v="20"/>
    <n v="59860"/>
    <n v="4788.8"/>
    <x v="301"/>
    <n v="29930"/>
    <x v="298"/>
    <d v="2014-09-01T00:00:00"/>
    <n v="9"/>
    <s v="September"/>
    <x v="0"/>
    <m/>
  </r>
  <r>
    <x v="0"/>
    <x v="1"/>
    <s v="Paseo"/>
    <s v="Medium"/>
    <n v="2146"/>
    <n v="10"/>
    <n v="350"/>
    <n v="751100"/>
    <n v="60088"/>
    <x v="302"/>
    <n v="557960"/>
    <x v="299"/>
    <d v="2013-11-01T00:00:00"/>
    <n v="11"/>
    <s v="November"/>
    <x v="1"/>
    <m/>
  </r>
  <r>
    <x v="0"/>
    <x v="3"/>
    <s v="Paseo"/>
    <s v="Medium"/>
    <n v="1946"/>
    <n v="10"/>
    <n v="7"/>
    <n v="13622"/>
    <n v="1089.76"/>
    <x v="303"/>
    <n v="9730"/>
    <x v="300"/>
    <d v="2013-12-01T00:00:00"/>
    <n v="12"/>
    <s v="December"/>
    <x v="1"/>
    <m/>
  </r>
  <r>
    <x v="0"/>
    <x v="3"/>
    <s v="Paseo"/>
    <s v="Medium"/>
    <n v="1362"/>
    <n v="10"/>
    <n v="350"/>
    <n v="476700"/>
    <n v="38136"/>
    <x v="285"/>
    <n v="354120"/>
    <x v="282"/>
    <d v="2014-12-01T00:00:00"/>
    <n v="12"/>
    <s v="December"/>
    <x v="0"/>
    <m/>
  </r>
  <r>
    <x v="2"/>
    <x v="0"/>
    <s v="Velo"/>
    <s v="Medium"/>
    <n v="598"/>
    <n v="120"/>
    <n v="12"/>
    <n v="7176"/>
    <n v="574.08000000000004"/>
    <x v="304"/>
    <n v="1794"/>
    <x v="301"/>
    <d v="2014-03-01T00:00:00"/>
    <n v="3"/>
    <s v="March"/>
    <x v="0"/>
    <m/>
  </r>
  <r>
    <x v="0"/>
    <x v="4"/>
    <s v="Velo"/>
    <s v="Medium"/>
    <n v="2907"/>
    <n v="120"/>
    <n v="7"/>
    <n v="20349"/>
    <n v="1627.92"/>
    <x v="305"/>
    <n v="14535"/>
    <x v="302"/>
    <d v="2014-06-01T00:00:00"/>
    <n v="6"/>
    <s v="June"/>
    <x v="0"/>
    <m/>
  </r>
  <r>
    <x v="0"/>
    <x v="1"/>
    <s v="Velo"/>
    <s v="Medium"/>
    <n v="2338"/>
    <n v="120"/>
    <n v="7"/>
    <n v="16366"/>
    <n v="1309.28"/>
    <x v="306"/>
    <n v="11690"/>
    <x v="303"/>
    <d v="2014-06-01T00:00:00"/>
    <n v="6"/>
    <s v="June"/>
    <x v="0"/>
    <m/>
  </r>
  <r>
    <x v="4"/>
    <x v="2"/>
    <s v="Velo"/>
    <s v="Medium"/>
    <n v="386"/>
    <n v="120"/>
    <n v="300"/>
    <n v="115800"/>
    <n v="9264"/>
    <x v="307"/>
    <n v="96500"/>
    <x v="304"/>
    <d v="2013-11-01T00:00:00"/>
    <n v="11"/>
    <s v="November"/>
    <x v="1"/>
    <m/>
  </r>
  <r>
    <x v="4"/>
    <x v="3"/>
    <s v="Velo"/>
    <s v="Medium"/>
    <n v="635"/>
    <n v="120"/>
    <n v="300"/>
    <n v="190500"/>
    <n v="15240"/>
    <x v="308"/>
    <n v="158750"/>
    <x v="305"/>
    <d v="2014-12-01T00:00:00"/>
    <n v="12"/>
    <s v="December"/>
    <x v="0"/>
    <m/>
  </r>
  <r>
    <x v="0"/>
    <x v="2"/>
    <s v="VTT"/>
    <s v="Medium"/>
    <n v="574.5"/>
    <n v="250"/>
    <n v="350"/>
    <n v="201075"/>
    <n v="16086"/>
    <x v="309"/>
    <n v="149370"/>
    <x v="306"/>
    <d v="2014-04-01T00:00:00"/>
    <n v="4"/>
    <s v="April"/>
    <x v="0"/>
    <m/>
  </r>
  <r>
    <x v="0"/>
    <x v="1"/>
    <s v="VTT"/>
    <s v="Medium"/>
    <n v="2338"/>
    <n v="250"/>
    <n v="7"/>
    <n v="16366"/>
    <n v="1309.28"/>
    <x v="306"/>
    <n v="11690"/>
    <x v="303"/>
    <d v="2014-06-01T00:00:00"/>
    <n v="6"/>
    <s v="June"/>
    <x v="0"/>
    <m/>
  </r>
  <r>
    <x v="0"/>
    <x v="2"/>
    <s v="VTT"/>
    <s v="Medium"/>
    <n v="381"/>
    <n v="250"/>
    <n v="350"/>
    <n v="133350"/>
    <n v="10668"/>
    <x v="310"/>
    <n v="99060"/>
    <x v="307"/>
    <d v="2014-08-01T00:00:00"/>
    <n v="8"/>
    <s v="August"/>
    <x v="0"/>
    <m/>
  </r>
  <r>
    <x v="0"/>
    <x v="1"/>
    <s v="VTT"/>
    <s v="Medium"/>
    <n v="422"/>
    <n v="250"/>
    <n v="350"/>
    <n v="147700"/>
    <n v="11816"/>
    <x v="311"/>
    <n v="109720"/>
    <x v="308"/>
    <d v="2014-08-01T00:00:00"/>
    <n v="8"/>
    <s v="August"/>
    <x v="0"/>
    <m/>
  </r>
  <r>
    <x v="4"/>
    <x v="0"/>
    <s v="VTT"/>
    <s v="Medium"/>
    <n v="2134"/>
    <n v="250"/>
    <n v="300"/>
    <n v="640200"/>
    <n v="51216"/>
    <x v="312"/>
    <n v="533500"/>
    <x v="309"/>
    <d v="2014-09-01T00:00:00"/>
    <n v="9"/>
    <s v="September"/>
    <x v="0"/>
    <m/>
  </r>
  <r>
    <x v="4"/>
    <x v="4"/>
    <s v="VTT"/>
    <s v="Medium"/>
    <n v="808"/>
    <n v="250"/>
    <n v="300"/>
    <n v="242400"/>
    <n v="19392"/>
    <x v="313"/>
    <n v="202000"/>
    <x v="310"/>
    <d v="2013-12-01T00:00:00"/>
    <n v="12"/>
    <s v="December"/>
    <x v="1"/>
    <m/>
  </r>
  <r>
    <x v="0"/>
    <x v="0"/>
    <s v="Amarilla"/>
    <s v="Medium"/>
    <n v="708"/>
    <n v="260"/>
    <n v="20"/>
    <n v="14160"/>
    <n v="1132.8"/>
    <x v="287"/>
    <n v="7080"/>
    <x v="284"/>
    <d v="2014-06-01T00:00:00"/>
    <n v="6"/>
    <s v="June"/>
    <x v="0"/>
    <m/>
  </r>
  <r>
    <x v="0"/>
    <x v="4"/>
    <s v="Amarilla"/>
    <s v="Medium"/>
    <n v="2907"/>
    <n v="260"/>
    <n v="7"/>
    <n v="20349"/>
    <n v="1627.92"/>
    <x v="305"/>
    <n v="14535"/>
    <x v="302"/>
    <d v="2014-06-01T00:00:00"/>
    <n v="6"/>
    <s v="June"/>
    <x v="0"/>
    <m/>
  </r>
  <r>
    <x v="0"/>
    <x v="1"/>
    <s v="Amarilla"/>
    <s v="Medium"/>
    <n v="1366"/>
    <n v="260"/>
    <n v="20"/>
    <n v="27320"/>
    <n v="2185.6"/>
    <x v="295"/>
    <n v="13660"/>
    <x v="292"/>
    <d v="2014-06-01T00:00:00"/>
    <n v="6"/>
    <s v="June"/>
    <x v="0"/>
    <m/>
  </r>
  <r>
    <x v="4"/>
    <x v="3"/>
    <s v="Amarilla"/>
    <s v="Medium"/>
    <n v="2460"/>
    <n v="260"/>
    <n v="300"/>
    <n v="738000"/>
    <n v="59040"/>
    <x v="296"/>
    <n v="615000"/>
    <x v="293"/>
    <d v="2014-06-01T00:00:00"/>
    <n v="6"/>
    <s v="June"/>
    <x v="0"/>
    <m/>
  </r>
  <r>
    <x v="0"/>
    <x v="1"/>
    <s v="Amarilla"/>
    <s v="Medium"/>
    <n v="1520"/>
    <n v="260"/>
    <n v="20"/>
    <n v="30400"/>
    <n v="2432"/>
    <x v="314"/>
    <n v="15200"/>
    <x v="311"/>
    <d v="2014-11-01T00:00:00"/>
    <n v="11"/>
    <s v="November"/>
    <x v="0"/>
    <m/>
  </r>
  <r>
    <x v="1"/>
    <x v="1"/>
    <s v="Amarilla"/>
    <s v="Medium"/>
    <n v="711"/>
    <n v="260"/>
    <n v="15"/>
    <n v="10665"/>
    <n v="853.2"/>
    <x v="291"/>
    <n v="7110"/>
    <x v="288"/>
    <d v="2014-12-01T00:00:00"/>
    <n v="12"/>
    <s v="December"/>
    <x v="0"/>
    <m/>
  </r>
  <r>
    <x v="2"/>
    <x v="3"/>
    <s v="Amarilla"/>
    <s v="Medium"/>
    <n v="1375"/>
    <n v="260"/>
    <n v="12"/>
    <n v="16500"/>
    <n v="1320"/>
    <x v="315"/>
    <n v="4125"/>
    <x v="312"/>
    <d v="2013-12-01T00:00:00"/>
    <n v="12"/>
    <s v="December"/>
    <x v="1"/>
    <m/>
  </r>
  <r>
    <x v="4"/>
    <x v="3"/>
    <s v="Amarilla"/>
    <s v="Medium"/>
    <n v="635"/>
    <n v="260"/>
    <n v="300"/>
    <n v="190500"/>
    <n v="15240"/>
    <x v="308"/>
    <n v="158750"/>
    <x v="305"/>
    <d v="2014-12-01T00:00:00"/>
    <n v="12"/>
    <s v="December"/>
    <x v="0"/>
    <m/>
  </r>
  <r>
    <x v="0"/>
    <x v="4"/>
    <s v="VTT"/>
    <s v="Medium"/>
    <n v="436.5"/>
    <n v="250"/>
    <n v="20"/>
    <n v="8730"/>
    <n v="698.40000000000009"/>
    <x v="316"/>
    <n v="4365"/>
    <x v="313"/>
    <d v="2014-07-01T00:00:00"/>
    <n v="7"/>
    <s v="July"/>
    <x v="0"/>
    <m/>
  </r>
  <r>
    <x v="4"/>
    <x v="0"/>
    <s v="Carretera"/>
    <s v="Medium"/>
    <n v="1094"/>
    <n v="3"/>
    <n v="300"/>
    <n v="328200"/>
    <n v="29538"/>
    <x v="317"/>
    <n v="273500"/>
    <x v="314"/>
    <d v="2014-06-01T00:00:00"/>
    <n v="6"/>
    <s v="June"/>
    <x v="0"/>
    <m/>
  </r>
  <r>
    <x v="2"/>
    <x v="3"/>
    <s v="Carretera"/>
    <s v="Medium"/>
    <n v="367"/>
    <n v="3"/>
    <n v="12"/>
    <n v="4404"/>
    <n v="396.36"/>
    <x v="318"/>
    <n v="1101"/>
    <x v="315"/>
    <d v="2013-10-01T00:00:00"/>
    <n v="10"/>
    <s v="October"/>
    <x v="1"/>
    <m/>
  </r>
  <r>
    <x v="4"/>
    <x v="0"/>
    <s v="Montana"/>
    <s v="Medium"/>
    <n v="3802.5"/>
    <n v="5"/>
    <n v="300"/>
    <n v="1140750"/>
    <n v="102667.5"/>
    <x v="319"/>
    <n v="950625"/>
    <x v="316"/>
    <d v="2014-04-01T00:00:00"/>
    <n v="4"/>
    <s v="April"/>
    <x v="0"/>
    <m/>
  </r>
  <r>
    <x v="0"/>
    <x v="2"/>
    <s v="Montana"/>
    <s v="Medium"/>
    <n v="1666"/>
    <n v="5"/>
    <n v="350"/>
    <n v="583100"/>
    <n v="52479"/>
    <x v="320"/>
    <n v="433160"/>
    <x v="317"/>
    <d v="2014-05-01T00:00:00"/>
    <n v="5"/>
    <s v="May"/>
    <x v="0"/>
    <m/>
  </r>
  <r>
    <x v="4"/>
    <x v="2"/>
    <s v="Montana"/>
    <s v="Medium"/>
    <n v="322"/>
    <n v="5"/>
    <n v="300"/>
    <n v="96600"/>
    <n v="8694"/>
    <x v="321"/>
    <n v="80500"/>
    <x v="318"/>
    <d v="2013-09-01T00:00:00"/>
    <n v="9"/>
    <s v="September"/>
    <x v="1"/>
    <m/>
  </r>
  <r>
    <x v="2"/>
    <x v="0"/>
    <s v="Montana"/>
    <s v="Medium"/>
    <n v="2321"/>
    <n v="5"/>
    <n v="12"/>
    <n v="27852"/>
    <n v="2506.6799999999998"/>
    <x v="322"/>
    <n v="6963"/>
    <x v="319"/>
    <d v="2014-11-01T00:00:00"/>
    <n v="11"/>
    <s v="November"/>
    <x v="0"/>
    <m/>
  </r>
  <r>
    <x v="3"/>
    <x v="2"/>
    <s v="Montana"/>
    <s v="Medium"/>
    <n v="1857"/>
    <n v="5"/>
    <n v="125"/>
    <n v="232125"/>
    <n v="20891.25"/>
    <x v="323"/>
    <n v="222840"/>
    <x v="320"/>
    <d v="2013-11-01T00:00:00"/>
    <n v="11"/>
    <s v="November"/>
    <x v="1"/>
    <m/>
  </r>
  <r>
    <x v="0"/>
    <x v="0"/>
    <s v="Montana"/>
    <s v="Medium"/>
    <n v="1611"/>
    <n v="5"/>
    <n v="7"/>
    <n v="11277"/>
    <n v="1014.93"/>
    <x v="324"/>
    <n v="8055"/>
    <x v="321"/>
    <d v="2013-12-01T00:00:00"/>
    <n v="12"/>
    <s v="December"/>
    <x v="1"/>
    <m/>
  </r>
  <r>
    <x v="3"/>
    <x v="4"/>
    <s v="Montana"/>
    <s v="Medium"/>
    <n v="2797"/>
    <n v="5"/>
    <n v="125"/>
    <n v="349625"/>
    <n v="31466.25"/>
    <x v="325"/>
    <n v="335640"/>
    <x v="322"/>
    <d v="2014-12-01T00:00:00"/>
    <n v="12"/>
    <s v="December"/>
    <x v="0"/>
    <m/>
  </r>
  <r>
    <x v="4"/>
    <x v="1"/>
    <s v="Montana"/>
    <s v="Medium"/>
    <n v="334"/>
    <n v="5"/>
    <n v="300"/>
    <n v="100200"/>
    <n v="9018"/>
    <x v="326"/>
    <n v="83500"/>
    <x v="323"/>
    <d v="2013-12-01T00:00:00"/>
    <n v="12"/>
    <s v="December"/>
    <x v="1"/>
    <m/>
  </r>
  <r>
    <x v="4"/>
    <x v="3"/>
    <s v="Paseo"/>
    <s v="Medium"/>
    <n v="2565"/>
    <n v="10"/>
    <n v="300"/>
    <n v="769500"/>
    <n v="69255"/>
    <x v="327"/>
    <n v="641250"/>
    <x v="324"/>
    <d v="2014-01-01T00:00:00"/>
    <n v="1"/>
    <s v="January"/>
    <x v="0"/>
    <m/>
  </r>
  <r>
    <x v="0"/>
    <x v="3"/>
    <s v="Paseo"/>
    <s v="Medium"/>
    <n v="2417"/>
    <n v="10"/>
    <n v="350"/>
    <n v="845950"/>
    <n v="76135.5"/>
    <x v="328"/>
    <n v="628420"/>
    <x v="325"/>
    <d v="2014-01-01T00:00:00"/>
    <n v="1"/>
    <s v="January"/>
    <x v="0"/>
    <m/>
  </r>
  <r>
    <x v="1"/>
    <x v="4"/>
    <s v="Paseo"/>
    <s v="Medium"/>
    <n v="3675"/>
    <n v="10"/>
    <n v="15"/>
    <n v="55125"/>
    <n v="4961.25"/>
    <x v="329"/>
    <n v="36750"/>
    <x v="326"/>
    <d v="2014-04-01T00:00:00"/>
    <n v="4"/>
    <s v="April"/>
    <x v="0"/>
    <m/>
  </r>
  <r>
    <x v="4"/>
    <x v="0"/>
    <s v="Paseo"/>
    <s v="Medium"/>
    <n v="1094"/>
    <n v="10"/>
    <n v="300"/>
    <n v="328200"/>
    <n v="29538"/>
    <x v="317"/>
    <n v="273500"/>
    <x v="314"/>
    <d v="2014-06-01T00:00:00"/>
    <n v="6"/>
    <s v="June"/>
    <x v="0"/>
    <m/>
  </r>
  <r>
    <x v="1"/>
    <x v="2"/>
    <s v="Paseo"/>
    <s v="Medium"/>
    <n v="1227"/>
    <n v="10"/>
    <n v="15"/>
    <n v="18405"/>
    <n v="1656.45"/>
    <x v="330"/>
    <n v="12270"/>
    <x v="327"/>
    <d v="2014-10-01T00:00:00"/>
    <n v="10"/>
    <s v="October"/>
    <x v="0"/>
    <m/>
  </r>
  <r>
    <x v="2"/>
    <x v="3"/>
    <s v="Paseo"/>
    <s v="Medium"/>
    <n v="367"/>
    <n v="10"/>
    <n v="12"/>
    <n v="4404"/>
    <n v="396.36"/>
    <x v="318"/>
    <n v="1101"/>
    <x v="315"/>
    <d v="2013-10-01T00:00:00"/>
    <n v="10"/>
    <s v="October"/>
    <x v="1"/>
    <m/>
  </r>
  <r>
    <x v="4"/>
    <x v="2"/>
    <s v="Paseo"/>
    <s v="Medium"/>
    <n v="1324"/>
    <n v="10"/>
    <n v="300"/>
    <n v="397200"/>
    <n v="35748"/>
    <x v="331"/>
    <n v="331000"/>
    <x v="328"/>
    <d v="2014-11-01T00:00:00"/>
    <n v="11"/>
    <s v="November"/>
    <x v="0"/>
    <m/>
  </r>
  <r>
    <x v="2"/>
    <x v="1"/>
    <s v="Paseo"/>
    <s v="Medium"/>
    <n v="1775"/>
    <n v="10"/>
    <n v="12"/>
    <n v="21300"/>
    <n v="1917"/>
    <x v="332"/>
    <n v="5325"/>
    <x v="329"/>
    <d v="2013-11-01T00:00:00"/>
    <n v="11"/>
    <s v="November"/>
    <x v="1"/>
    <m/>
  </r>
  <r>
    <x v="3"/>
    <x v="4"/>
    <s v="Paseo"/>
    <s v="Medium"/>
    <n v="2797"/>
    <n v="10"/>
    <n v="125"/>
    <n v="349625"/>
    <n v="31466.25"/>
    <x v="325"/>
    <n v="335640"/>
    <x v="322"/>
    <d v="2014-12-01T00:00:00"/>
    <n v="12"/>
    <s v="December"/>
    <x v="0"/>
    <m/>
  </r>
  <r>
    <x v="1"/>
    <x v="3"/>
    <s v="Velo"/>
    <s v="Medium"/>
    <n v="245"/>
    <n v="120"/>
    <n v="15"/>
    <n v="3675"/>
    <n v="330.75"/>
    <x v="333"/>
    <n v="2450"/>
    <x v="330"/>
    <d v="2014-05-01T00:00:00"/>
    <n v="5"/>
    <s v="May"/>
    <x v="0"/>
    <m/>
  </r>
  <r>
    <x v="4"/>
    <x v="0"/>
    <s v="Velo"/>
    <s v="Medium"/>
    <n v="3793.5"/>
    <n v="120"/>
    <n v="300"/>
    <n v="1138050"/>
    <n v="102424.5"/>
    <x v="334"/>
    <n v="948375"/>
    <x v="331"/>
    <d v="2014-07-01T00:00:00"/>
    <n v="7"/>
    <s v="July"/>
    <x v="0"/>
    <m/>
  </r>
  <r>
    <x v="0"/>
    <x v="1"/>
    <s v="Velo"/>
    <s v="Medium"/>
    <n v="1307"/>
    <n v="120"/>
    <n v="350"/>
    <n v="457450"/>
    <n v="41170.5"/>
    <x v="335"/>
    <n v="339820"/>
    <x v="332"/>
    <d v="2014-07-01T00:00:00"/>
    <n v="7"/>
    <s v="July"/>
    <x v="0"/>
    <m/>
  </r>
  <r>
    <x v="3"/>
    <x v="0"/>
    <s v="Velo"/>
    <s v="Medium"/>
    <n v="567"/>
    <n v="120"/>
    <n v="125"/>
    <n v="70875"/>
    <n v="6378.75"/>
    <x v="336"/>
    <n v="68040"/>
    <x v="333"/>
    <d v="2014-09-01T00:00:00"/>
    <n v="9"/>
    <s v="September"/>
    <x v="0"/>
    <m/>
  </r>
  <r>
    <x v="3"/>
    <x v="3"/>
    <s v="Velo"/>
    <s v="Medium"/>
    <n v="2110"/>
    <n v="120"/>
    <n v="125"/>
    <n v="263750"/>
    <n v="23737.5"/>
    <x v="337"/>
    <n v="253200"/>
    <x v="334"/>
    <d v="2014-09-01T00:00:00"/>
    <n v="9"/>
    <s v="September"/>
    <x v="0"/>
    <m/>
  </r>
  <r>
    <x v="0"/>
    <x v="0"/>
    <s v="Velo"/>
    <s v="Medium"/>
    <n v="1269"/>
    <n v="120"/>
    <n v="350"/>
    <n v="444150"/>
    <n v="39973.5"/>
    <x v="338"/>
    <n v="329940"/>
    <x v="335"/>
    <d v="2014-10-01T00:00:00"/>
    <n v="10"/>
    <s v="October"/>
    <x v="0"/>
    <m/>
  </r>
  <r>
    <x v="2"/>
    <x v="4"/>
    <s v="VTT"/>
    <s v="Medium"/>
    <n v="1956"/>
    <n v="250"/>
    <n v="12"/>
    <n v="23472"/>
    <n v="2112.48"/>
    <x v="339"/>
    <n v="5868"/>
    <x v="336"/>
    <d v="2014-01-01T00:00:00"/>
    <n v="1"/>
    <s v="January"/>
    <x v="0"/>
    <m/>
  </r>
  <r>
    <x v="4"/>
    <x v="1"/>
    <s v="VTT"/>
    <s v="Medium"/>
    <n v="2659"/>
    <n v="250"/>
    <n v="300"/>
    <n v="797700"/>
    <n v="71793"/>
    <x v="340"/>
    <n v="664750"/>
    <x v="337"/>
    <d v="2014-02-01T00:00:00"/>
    <n v="2"/>
    <s v="February"/>
    <x v="0"/>
    <m/>
  </r>
  <r>
    <x v="0"/>
    <x v="4"/>
    <s v="VTT"/>
    <s v="Medium"/>
    <n v="1351.5"/>
    <n v="250"/>
    <n v="350"/>
    <n v="473025"/>
    <n v="42572.25"/>
    <x v="341"/>
    <n v="351390"/>
    <x v="338"/>
    <d v="2014-04-01T00:00:00"/>
    <n v="4"/>
    <s v="April"/>
    <x v="0"/>
    <m/>
  </r>
  <r>
    <x v="2"/>
    <x v="1"/>
    <s v="VTT"/>
    <s v="Medium"/>
    <n v="880"/>
    <n v="250"/>
    <n v="12"/>
    <n v="10560"/>
    <n v="950.4"/>
    <x v="342"/>
    <n v="2640"/>
    <x v="339"/>
    <d v="2014-05-01T00:00:00"/>
    <n v="5"/>
    <s v="May"/>
    <x v="0"/>
    <m/>
  </r>
  <r>
    <x v="4"/>
    <x v="4"/>
    <s v="VTT"/>
    <s v="Medium"/>
    <n v="1867"/>
    <n v="250"/>
    <n v="300"/>
    <n v="560100"/>
    <n v="50409"/>
    <x v="343"/>
    <n v="466750"/>
    <x v="340"/>
    <d v="2014-09-01T00:00:00"/>
    <n v="9"/>
    <s v="September"/>
    <x v="0"/>
    <m/>
  </r>
  <r>
    <x v="2"/>
    <x v="2"/>
    <s v="VTT"/>
    <s v="Medium"/>
    <n v="2234"/>
    <n v="250"/>
    <n v="12"/>
    <n v="26808"/>
    <n v="2412.7199999999998"/>
    <x v="344"/>
    <n v="6702"/>
    <x v="341"/>
    <d v="2013-09-01T00:00:00"/>
    <n v="9"/>
    <s v="September"/>
    <x v="1"/>
    <m/>
  </r>
  <r>
    <x v="1"/>
    <x v="2"/>
    <s v="VTT"/>
    <s v="Medium"/>
    <n v="1227"/>
    <n v="250"/>
    <n v="15"/>
    <n v="18405"/>
    <n v="1656.45"/>
    <x v="330"/>
    <n v="12270"/>
    <x v="327"/>
    <d v="2014-10-01T00:00:00"/>
    <n v="10"/>
    <s v="October"/>
    <x v="0"/>
    <m/>
  </r>
  <r>
    <x v="3"/>
    <x v="3"/>
    <s v="VTT"/>
    <s v="Medium"/>
    <n v="877"/>
    <n v="250"/>
    <n v="125"/>
    <n v="109625"/>
    <n v="9866.25"/>
    <x v="345"/>
    <n v="105240"/>
    <x v="342"/>
    <d v="2014-11-01T00:00:00"/>
    <n v="11"/>
    <s v="November"/>
    <x v="0"/>
    <m/>
  </r>
  <r>
    <x v="0"/>
    <x v="4"/>
    <s v="Amarilla"/>
    <s v="Medium"/>
    <n v="2071"/>
    <n v="260"/>
    <n v="350"/>
    <n v="724850"/>
    <n v="65236.5"/>
    <x v="346"/>
    <n v="538460"/>
    <x v="343"/>
    <d v="2014-09-01T00:00:00"/>
    <n v="9"/>
    <s v="September"/>
    <x v="0"/>
    <m/>
  </r>
  <r>
    <x v="0"/>
    <x v="0"/>
    <s v="Amarilla"/>
    <s v="Medium"/>
    <n v="1269"/>
    <n v="260"/>
    <n v="350"/>
    <n v="444150"/>
    <n v="39973.5"/>
    <x v="338"/>
    <n v="329940"/>
    <x v="335"/>
    <d v="2014-10-01T00:00:00"/>
    <n v="10"/>
    <s v="October"/>
    <x v="0"/>
    <m/>
  </r>
  <r>
    <x v="1"/>
    <x v="1"/>
    <s v="Amarilla"/>
    <s v="Medium"/>
    <n v="970"/>
    <n v="260"/>
    <n v="15"/>
    <n v="14550"/>
    <n v="1309.5"/>
    <x v="347"/>
    <n v="9700"/>
    <x v="344"/>
    <d v="2013-11-01T00:00:00"/>
    <n v="11"/>
    <s v="November"/>
    <x v="1"/>
    <m/>
  </r>
  <r>
    <x v="0"/>
    <x v="3"/>
    <s v="Amarilla"/>
    <s v="Medium"/>
    <n v="1694"/>
    <n v="260"/>
    <n v="20"/>
    <n v="33880"/>
    <n v="3049.2"/>
    <x v="348"/>
    <n v="16940"/>
    <x v="345"/>
    <d v="2014-11-01T00:00:00"/>
    <n v="11"/>
    <s v="November"/>
    <x v="0"/>
    <m/>
  </r>
  <r>
    <x v="0"/>
    <x v="1"/>
    <s v="Carretera"/>
    <s v="Medium"/>
    <n v="663"/>
    <n v="3"/>
    <n v="20"/>
    <n v="13260"/>
    <n v="1193.4000000000001"/>
    <x v="349"/>
    <n v="6630"/>
    <x v="346"/>
    <d v="2014-05-01T00:00:00"/>
    <n v="5"/>
    <s v="May"/>
    <x v="0"/>
    <m/>
  </r>
  <r>
    <x v="0"/>
    <x v="0"/>
    <s v="Carretera"/>
    <s v="Medium"/>
    <n v="819"/>
    <n v="3"/>
    <n v="7"/>
    <n v="5733"/>
    <n v="515.97"/>
    <x v="350"/>
    <n v="4095"/>
    <x v="347"/>
    <d v="2014-07-01T00:00:00"/>
    <n v="7"/>
    <s v="July"/>
    <x v="0"/>
    <m/>
  </r>
  <r>
    <x v="2"/>
    <x v="1"/>
    <s v="Carretera"/>
    <s v="Medium"/>
    <n v="1580"/>
    <n v="3"/>
    <n v="12"/>
    <n v="18960"/>
    <n v="1706.4"/>
    <x v="351"/>
    <n v="4740"/>
    <x v="348"/>
    <d v="2014-09-01T00:00:00"/>
    <n v="9"/>
    <s v="September"/>
    <x v="0"/>
    <m/>
  </r>
  <r>
    <x v="0"/>
    <x v="3"/>
    <s v="Carretera"/>
    <s v="Medium"/>
    <n v="521"/>
    <n v="3"/>
    <n v="7"/>
    <n v="3647"/>
    <n v="328.23"/>
    <x v="352"/>
    <n v="2605"/>
    <x v="349"/>
    <d v="2014-12-01T00:00:00"/>
    <n v="12"/>
    <s v="December"/>
    <x v="0"/>
    <m/>
  </r>
  <r>
    <x v="0"/>
    <x v="4"/>
    <s v="Paseo"/>
    <s v="Medium"/>
    <n v="973"/>
    <n v="10"/>
    <n v="20"/>
    <n v="19460"/>
    <n v="1751.4"/>
    <x v="353"/>
    <n v="9730"/>
    <x v="350"/>
    <d v="2014-03-01T00:00:00"/>
    <n v="3"/>
    <s v="March"/>
    <x v="0"/>
    <m/>
  </r>
  <r>
    <x v="0"/>
    <x v="3"/>
    <s v="Paseo"/>
    <s v="Medium"/>
    <n v="1038"/>
    <n v="10"/>
    <n v="20"/>
    <n v="20760"/>
    <n v="1868.4"/>
    <x v="354"/>
    <n v="10380"/>
    <x v="351"/>
    <d v="2014-06-01T00:00:00"/>
    <n v="6"/>
    <s v="June"/>
    <x v="0"/>
    <m/>
  </r>
  <r>
    <x v="0"/>
    <x v="1"/>
    <s v="Paseo"/>
    <s v="Medium"/>
    <n v="360"/>
    <n v="10"/>
    <n v="7"/>
    <n v="2520"/>
    <n v="226.8"/>
    <x v="355"/>
    <n v="1800"/>
    <x v="352"/>
    <d v="2014-10-01T00:00:00"/>
    <n v="10"/>
    <s v="October"/>
    <x v="0"/>
    <m/>
  </r>
  <r>
    <x v="2"/>
    <x v="2"/>
    <s v="Velo"/>
    <s v="Medium"/>
    <n v="1967"/>
    <n v="120"/>
    <n v="12"/>
    <n v="23604"/>
    <n v="2124.36"/>
    <x v="356"/>
    <n v="5901"/>
    <x v="353"/>
    <d v="2014-03-01T00:00:00"/>
    <n v="3"/>
    <s v="March"/>
    <x v="0"/>
    <m/>
  </r>
  <r>
    <x v="1"/>
    <x v="3"/>
    <s v="Velo"/>
    <s v="Medium"/>
    <n v="2628"/>
    <n v="120"/>
    <n v="15"/>
    <n v="39420"/>
    <n v="3547.8"/>
    <x v="357"/>
    <n v="26280"/>
    <x v="354"/>
    <d v="2014-04-01T00:00:00"/>
    <n v="4"/>
    <s v="April"/>
    <x v="0"/>
    <m/>
  </r>
  <r>
    <x v="0"/>
    <x v="1"/>
    <s v="VTT"/>
    <s v="Medium"/>
    <n v="360"/>
    <n v="250"/>
    <n v="7"/>
    <n v="2520"/>
    <n v="226.8"/>
    <x v="355"/>
    <n v="1800"/>
    <x v="352"/>
    <d v="2014-10-01T00:00:00"/>
    <n v="10"/>
    <s v="October"/>
    <x v="0"/>
    <m/>
  </r>
  <r>
    <x v="0"/>
    <x v="2"/>
    <s v="VTT"/>
    <s v="Medium"/>
    <n v="2682"/>
    <n v="250"/>
    <n v="20"/>
    <n v="53640"/>
    <n v="4827.6000000000004"/>
    <x v="358"/>
    <n v="26820"/>
    <x v="355"/>
    <d v="2013-11-01T00:00:00"/>
    <n v="11"/>
    <s v="November"/>
    <x v="1"/>
    <m/>
  </r>
  <r>
    <x v="0"/>
    <x v="3"/>
    <s v="VTT"/>
    <s v="Medium"/>
    <n v="521"/>
    <n v="250"/>
    <n v="7"/>
    <n v="3647"/>
    <n v="328.23"/>
    <x v="352"/>
    <n v="2605"/>
    <x v="349"/>
    <d v="2014-12-01T00:00:00"/>
    <n v="12"/>
    <s v="December"/>
    <x v="0"/>
    <m/>
  </r>
  <r>
    <x v="0"/>
    <x v="3"/>
    <s v="Amarilla"/>
    <s v="Medium"/>
    <n v="1038"/>
    <n v="260"/>
    <n v="20"/>
    <n v="20760"/>
    <n v="1868.4"/>
    <x v="354"/>
    <n v="10380"/>
    <x v="351"/>
    <d v="2014-06-01T00:00:00"/>
    <n v="6"/>
    <s v="June"/>
    <x v="0"/>
    <m/>
  </r>
  <r>
    <x v="1"/>
    <x v="0"/>
    <s v="Amarilla"/>
    <s v="Medium"/>
    <n v="1630.5"/>
    <n v="260"/>
    <n v="15"/>
    <n v="24457.5"/>
    <n v="2201.1750000000002"/>
    <x v="359"/>
    <n v="16305"/>
    <x v="356"/>
    <d v="2014-07-01T00:00:00"/>
    <n v="7"/>
    <s v="July"/>
    <x v="0"/>
    <m/>
  </r>
  <r>
    <x v="2"/>
    <x v="2"/>
    <s v="Amarilla"/>
    <s v="Medium"/>
    <n v="306"/>
    <n v="260"/>
    <n v="12"/>
    <n v="3672"/>
    <n v="330.48"/>
    <x v="360"/>
    <n v="918"/>
    <x v="357"/>
    <d v="2013-12-01T00:00:00"/>
    <n v="12"/>
    <s v="December"/>
    <x v="1"/>
    <m/>
  </r>
  <r>
    <x v="2"/>
    <x v="4"/>
    <s v="Carretera"/>
    <s v="High"/>
    <n v="386"/>
    <n v="3"/>
    <n v="12"/>
    <n v="4632"/>
    <n v="463.2"/>
    <x v="361"/>
    <n v="1158"/>
    <x v="358"/>
    <d v="2013-10-01T00:00:00"/>
    <n v="10"/>
    <s v="October"/>
    <x v="1"/>
    <m/>
  </r>
  <r>
    <x v="0"/>
    <x v="4"/>
    <s v="Montana"/>
    <s v="High"/>
    <n v="2328"/>
    <n v="5"/>
    <n v="7"/>
    <n v="16296"/>
    <n v="1629.6"/>
    <x v="362"/>
    <n v="11640"/>
    <x v="359"/>
    <d v="2014-09-01T00:00:00"/>
    <n v="9"/>
    <s v="September"/>
    <x v="0"/>
    <m/>
  </r>
  <r>
    <x v="2"/>
    <x v="4"/>
    <s v="Paseo"/>
    <s v="High"/>
    <n v="386"/>
    <n v="10"/>
    <n v="12"/>
    <n v="4632"/>
    <n v="463.2"/>
    <x v="361"/>
    <n v="1158"/>
    <x v="358"/>
    <d v="2013-10-01T00:00:00"/>
    <n v="10"/>
    <s v="October"/>
    <x v="1"/>
    <m/>
  </r>
  <r>
    <x v="3"/>
    <x v="4"/>
    <s v="Carretera"/>
    <s v="High"/>
    <n v="3445.5"/>
    <n v="3"/>
    <n v="125"/>
    <n v="430687.5"/>
    <n v="43068.75"/>
    <x v="363"/>
    <n v="413460"/>
    <x v="360"/>
    <d v="2014-04-01T00:00:00"/>
    <n v="4"/>
    <s v="April"/>
    <x v="0"/>
    <m/>
  </r>
  <r>
    <x v="3"/>
    <x v="2"/>
    <s v="Carretera"/>
    <s v="High"/>
    <n v="1482"/>
    <n v="3"/>
    <n v="125"/>
    <n v="185250"/>
    <n v="18525"/>
    <x v="364"/>
    <n v="177840"/>
    <x v="361"/>
    <d v="2013-12-01T00:00:00"/>
    <n v="12"/>
    <s v="December"/>
    <x v="1"/>
    <m/>
  </r>
  <r>
    <x v="0"/>
    <x v="4"/>
    <s v="Montana"/>
    <s v="High"/>
    <n v="2313"/>
    <n v="5"/>
    <n v="350"/>
    <n v="809550"/>
    <n v="80955"/>
    <x v="365"/>
    <n v="601380"/>
    <x v="362"/>
    <d v="2014-05-01T00:00:00"/>
    <n v="5"/>
    <s v="May"/>
    <x v="0"/>
    <m/>
  </r>
  <r>
    <x v="3"/>
    <x v="4"/>
    <s v="Montana"/>
    <s v="High"/>
    <n v="1804"/>
    <n v="5"/>
    <n v="125"/>
    <n v="225500"/>
    <n v="22550"/>
    <x v="366"/>
    <n v="216480"/>
    <x v="363"/>
    <d v="2013-11-01T00:00:00"/>
    <n v="11"/>
    <s v="November"/>
    <x v="1"/>
    <m/>
  </r>
  <r>
    <x v="1"/>
    <x v="2"/>
    <s v="Montana"/>
    <s v="High"/>
    <n v="2072"/>
    <n v="5"/>
    <n v="15"/>
    <n v="31080"/>
    <n v="3108"/>
    <x v="367"/>
    <n v="20720"/>
    <x v="364"/>
    <d v="2014-12-01T00:00:00"/>
    <n v="12"/>
    <s v="December"/>
    <x v="0"/>
    <m/>
  </r>
  <r>
    <x v="0"/>
    <x v="2"/>
    <s v="Paseo"/>
    <s v="High"/>
    <n v="1954"/>
    <n v="10"/>
    <n v="20"/>
    <n v="39080"/>
    <n v="3908"/>
    <x v="368"/>
    <n v="19540"/>
    <x v="365"/>
    <d v="2014-03-01T00:00:00"/>
    <n v="3"/>
    <s v="March"/>
    <x v="0"/>
    <m/>
  </r>
  <r>
    <x v="4"/>
    <x v="3"/>
    <s v="Paseo"/>
    <s v="High"/>
    <n v="591"/>
    <n v="10"/>
    <n v="300"/>
    <n v="177300"/>
    <n v="17730"/>
    <x v="369"/>
    <n v="147750"/>
    <x v="366"/>
    <d v="2014-05-01T00:00:00"/>
    <n v="5"/>
    <s v="May"/>
    <x v="0"/>
    <m/>
  </r>
  <r>
    <x v="1"/>
    <x v="2"/>
    <s v="Paseo"/>
    <s v="High"/>
    <n v="2167"/>
    <n v="10"/>
    <n v="15"/>
    <n v="32505"/>
    <n v="3250.5"/>
    <x v="370"/>
    <n v="21670"/>
    <x v="367"/>
    <d v="2013-10-01T00:00:00"/>
    <n v="10"/>
    <s v="October"/>
    <x v="1"/>
    <m/>
  </r>
  <r>
    <x v="0"/>
    <x v="1"/>
    <s v="Paseo"/>
    <s v="High"/>
    <n v="241"/>
    <n v="10"/>
    <n v="20"/>
    <n v="4820"/>
    <n v="482"/>
    <x v="371"/>
    <n v="2410"/>
    <x v="368"/>
    <d v="2014-10-01T00:00:00"/>
    <n v="10"/>
    <s v="October"/>
    <x v="0"/>
    <m/>
  </r>
  <r>
    <x v="1"/>
    <x v="1"/>
    <s v="Velo"/>
    <s v="High"/>
    <n v="681"/>
    <n v="120"/>
    <n v="15"/>
    <n v="10215"/>
    <n v="1021.5"/>
    <x v="372"/>
    <n v="6810"/>
    <x v="369"/>
    <d v="2014-01-01T00:00:00"/>
    <n v="1"/>
    <s v="January"/>
    <x v="0"/>
    <m/>
  </r>
  <r>
    <x v="1"/>
    <x v="1"/>
    <s v="Velo"/>
    <s v="High"/>
    <n v="510"/>
    <n v="120"/>
    <n v="15"/>
    <n v="7650"/>
    <n v="765"/>
    <x v="373"/>
    <n v="5100"/>
    <x v="370"/>
    <d v="2014-04-01T00:00:00"/>
    <n v="4"/>
    <s v="April"/>
    <x v="0"/>
    <m/>
  </r>
  <r>
    <x v="1"/>
    <x v="4"/>
    <s v="Velo"/>
    <s v="High"/>
    <n v="790"/>
    <n v="120"/>
    <n v="15"/>
    <n v="11850"/>
    <n v="1185"/>
    <x v="374"/>
    <n v="7900"/>
    <x v="371"/>
    <d v="2014-05-01T00:00:00"/>
    <n v="5"/>
    <s v="May"/>
    <x v="0"/>
    <m/>
  </r>
  <r>
    <x v="0"/>
    <x v="2"/>
    <s v="Velo"/>
    <s v="High"/>
    <n v="639"/>
    <n v="120"/>
    <n v="350"/>
    <n v="223650"/>
    <n v="22365"/>
    <x v="375"/>
    <n v="166140"/>
    <x v="372"/>
    <d v="2014-07-01T00:00:00"/>
    <n v="7"/>
    <s v="July"/>
    <x v="0"/>
    <m/>
  </r>
  <r>
    <x v="3"/>
    <x v="4"/>
    <s v="Velo"/>
    <s v="High"/>
    <n v="1596"/>
    <n v="120"/>
    <n v="125"/>
    <n v="199500"/>
    <n v="19950"/>
    <x v="376"/>
    <n v="191520"/>
    <x v="373"/>
    <d v="2014-09-01T00:00:00"/>
    <n v="9"/>
    <s v="September"/>
    <x v="0"/>
    <m/>
  </r>
  <r>
    <x v="4"/>
    <x v="4"/>
    <s v="Velo"/>
    <s v="High"/>
    <n v="2294"/>
    <n v="120"/>
    <n v="300"/>
    <n v="688200"/>
    <n v="68820"/>
    <x v="377"/>
    <n v="573500"/>
    <x v="374"/>
    <d v="2013-10-01T00:00:00"/>
    <n v="10"/>
    <s v="October"/>
    <x v="1"/>
    <m/>
  </r>
  <r>
    <x v="0"/>
    <x v="1"/>
    <s v="Velo"/>
    <s v="High"/>
    <n v="241"/>
    <n v="120"/>
    <n v="20"/>
    <n v="4820"/>
    <n v="482"/>
    <x v="371"/>
    <n v="2410"/>
    <x v="368"/>
    <d v="2014-10-01T00:00:00"/>
    <n v="10"/>
    <s v="October"/>
    <x v="0"/>
    <m/>
  </r>
  <r>
    <x v="0"/>
    <x v="1"/>
    <s v="Velo"/>
    <s v="High"/>
    <n v="2665"/>
    <n v="120"/>
    <n v="7"/>
    <n v="18655"/>
    <n v="1865.5"/>
    <x v="378"/>
    <n v="13325"/>
    <x v="375"/>
    <d v="2014-11-01T00:00:00"/>
    <n v="11"/>
    <s v="November"/>
    <x v="0"/>
    <m/>
  </r>
  <r>
    <x v="3"/>
    <x v="0"/>
    <s v="Velo"/>
    <s v="High"/>
    <n v="1916"/>
    <n v="120"/>
    <n v="125"/>
    <n v="239500"/>
    <n v="23950"/>
    <x v="379"/>
    <n v="229920"/>
    <x v="376"/>
    <d v="2013-12-01T00:00:00"/>
    <n v="12"/>
    <s v="December"/>
    <x v="1"/>
    <m/>
  </r>
  <r>
    <x v="4"/>
    <x v="2"/>
    <s v="Velo"/>
    <s v="High"/>
    <n v="853"/>
    <n v="120"/>
    <n v="300"/>
    <n v="255900"/>
    <n v="25590"/>
    <x v="380"/>
    <n v="213250"/>
    <x v="377"/>
    <d v="2014-12-01T00:00:00"/>
    <n v="12"/>
    <s v="December"/>
    <x v="0"/>
    <m/>
  </r>
  <r>
    <x v="3"/>
    <x v="3"/>
    <s v="VTT"/>
    <s v="High"/>
    <n v="341"/>
    <n v="250"/>
    <n v="125"/>
    <n v="42625"/>
    <n v="4262.5"/>
    <x v="381"/>
    <n v="40920"/>
    <x v="378"/>
    <d v="2014-05-01T00:00:00"/>
    <n v="5"/>
    <s v="May"/>
    <x v="0"/>
    <m/>
  </r>
  <r>
    <x v="1"/>
    <x v="3"/>
    <s v="VTT"/>
    <s v="High"/>
    <n v="641"/>
    <n v="250"/>
    <n v="15"/>
    <n v="9615"/>
    <n v="961.5"/>
    <x v="382"/>
    <n v="6410"/>
    <x v="379"/>
    <d v="2014-07-01T00:00:00"/>
    <n v="7"/>
    <s v="July"/>
    <x v="0"/>
    <m/>
  </r>
  <r>
    <x v="0"/>
    <x v="4"/>
    <s v="VTT"/>
    <s v="High"/>
    <n v="2807"/>
    <n v="250"/>
    <n v="350"/>
    <n v="982450"/>
    <n v="98245"/>
    <x v="383"/>
    <n v="729820"/>
    <x v="380"/>
    <d v="2014-08-01T00:00:00"/>
    <n v="8"/>
    <s v="August"/>
    <x v="0"/>
    <m/>
  </r>
  <r>
    <x v="4"/>
    <x v="3"/>
    <s v="VTT"/>
    <s v="High"/>
    <n v="432"/>
    <n v="250"/>
    <n v="300"/>
    <n v="129600"/>
    <n v="12960"/>
    <x v="384"/>
    <n v="108000"/>
    <x v="381"/>
    <d v="2014-09-01T00:00:00"/>
    <n v="9"/>
    <s v="September"/>
    <x v="0"/>
    <m/>
  </r>
  <r>
    <x v="4"/>
    <x v="4"/>
    <s v="VTT"/>
    <s v="High"/>
    <n v="2294"/>
    <n v="250"/>
    <n v="300"/>
    <n v="688200"/>
    <n v="68820"/>
    <x v="377"/>
    <n v="573500"/>
    <x v="374"/>
    <d v="2013-10-01T00:00:00"/>
    <n v="10"/>
    <s v="October"/>
    <x v="1"/>
    <m/>
  </r>
  <r>
    <x v="1"/>
    <x v="2"/>
    <s v="VTT"/>
    <s v="High"/>
    <n v="2167"/>
    <n v="250"/>
    <n v="15"/>
    <n v="32505"/>
    <n v="3250.5"/>
    <x v="370"/>
    <n v="21670"/>
    <x v="367"/>
    <d v="2013-10-01T00:00:00"/>
    <n v="10"/>
    <s v="October"/>
    <x v="1"/>
    <m/>
  </r>
  <r>
    <x v="3"/>
    <x v="0"/>
    <s v="VTT"/>
    <s v="High"/>
    <n v="2529"/>
    <n v="250"/>
    <n v="125"/>
    <n v="316125"/>
    <n v="31612.5"/>
    <x v="385"/>
    <n v="303480"/>
    <x v="382"/>
    <d v="2014-11-01T00:00:00"/>
    <n v="11"/>
    <s v="November"/>
    <x v="0"/>
    <m/>
  </r>
  <r>
    <x v="0"/>
    <x v="1"/>
    <s v="VTT"/>
    <s v="High"/>
    <n v="1870"/>
    <n v="250"/>
    <n v="350"/>
    <n v="654500"/>
    <n v="65450"/>
    <x v="386"/>
    <n v="486200"/>
    <x v="383"/>
    <d v="2013-12-01T00:00:00"/>
    <n v="12"/>
    <s v="December"/>
    <x v="1"/>
    <m/>
  </r>
  <r>
    <x v="3"/>
    <x v="4"/>
    <s v="Amarilla"/>
    <s v="High"/>
    <n v="579"/>
    <n v="260"/>
    <n v="125"/>
    <n v="72375"/>
    <n v="7237.5"/>
    <x v="387"/>
    <n v="69480"/>
    <x v="384"/>
    <d v="2014-01-01T00:00:00"/>
    <n v="1"/>
    <s v="January"/>
    <x v="0"/>
    <m/>
  </r>
  <r>
    <x v="0"/>
    <x v="0"/>
    <s v="Amarilla"/>
    <s v="High"/>
    <n v="2240"/>
    <n v="260"/>
    <n v="350"/>
    <n v="784000"/>
    <n v="78400"/>
    <x v="388"/>
    <n v="582400"/>
    <x v="385"/>
    <d v="2014-02-01T00:00:00"/>
    <n v="2"/>
    <s v="February"/>
    <x v="0"/>
    <m/>
  </r>
  <r>
    <x v="4"/>
    <x v="4"/>
    <s v="Amarilla"/>
    <s v="High"/>
    <n v="2993"/>
    <n v="260"/>
    <n v="300"/>
    <n v="897900"/>
    <n v="89790"/>
    <x v="389"/>
    <n v="748250"/>
    <x v="386"/>
    <d v="2014-03-01T00:00:00"/>
    <n v="3"/>
    <s v="March"/>
    <x v="0"/>
    <m/>
  </r>
  <r>
    <x v="2"/>
    <x v="0"/>
    <s v="Amarilla"/>
    <s v="High"/>
    <n v="3520.5"/>
    <n v="260"/>
    <n v="12"/>
    <n v="42246"/>
    <n v="4224.6000000000004"/>
    <x v="390"/>
    <n v="10561.5"/>
    <x v="387"/>
    <d v="2014-04-01T00:00:00"/>
    <n v="4"/>
    <s v="April"/>
    <x v="0"/>
    <m/>
  </r>
  <r>
    <x v="0"/>
    <x v="3"/>
    <s v="Amarilla"/>
    <s v="High"/>
    <n v="2039"/>
    <n v="260"/>
    <n v="20"/>
    <n v="40780"/>
    <n v="4078"/>
    <x v="391"/>
    <n v="20390"/>
    <x v="388"/>
    <d v="2014-05-01T00:00:00"/>
    <n v="5"/>
    <s v="May"/>
    <x v="0"/>
    <m/>
  </r>
  <r>
    <x v="2"/>
    <x v="1"/>
    <s v="Amarilla"/>
    <s v="High"/>
    <n v="2574"/>
    <n v="260"/>
    <n v="12"/>
    <n v="30888"/>
    <n v="3088.8"/>
    <x v="392"/>
    <n v="7722"/>
    <x v="389"/>
    <d v="2014-08-01T00:00:00"/>
    <n v="8"/>
    <s v="August"/>
    <x v="0"/>
    <m/>
  </r>
  <r>
    <x v="0"/>
    <x v="0"/>
    <s v="Amarilla"/>
    <s v="High"/>
    <n v="707"/>
    <n v="260"/>
    <n v="350"/>
    <n v="247450"/>
    <n v="24745"/>
    <x v="393"/>
    <n v="183820"/>
    <x v="390"/>
    <d v="2014-09-01T00:00:00"/>
    <n v="9"/>
    <s v="September"/>
    <x v="0"/>
    <m/>
  </r>
  <r>
    <x v="1"/>
    <x v="2"/>
    <s v="Amarilla"/>
    <s v="High"/>
    <n v="2072"/>
    <n v="260"/>
    <n v="15"/>
    <n v="31080"/>
    <n v="3108"/>
    <x v="367"/>
    <n v="20720"/>
    <x v="364"/>
    <d v="2014-12-01T00:00:00"/>
    <n v="12"/>
    <s v="December"/>
    <x v="0"/>
    <m/>
  </r>
  <r>
    <x v="4"/>
    <x v="2"/>
    <s v="Amarilla"/>
    <s v="High"/>
    <n v="853"/>
    <n v="260"/>
    <n v="300"/>
    <n v="255900"/>
    <n v="25590"/>
    <x v="380"/>
    <n v="213250"/>
    <x v="377"/>
    <d v="2014-12-01T00:00:00"/>
    <n v="12"/>
    <s v="December"/>
    <x v="0"/>
    <m/>
  </r>
  <r>
    <x v="2"/>
    <x v="2"/>
    <s v="Carretera"/>
    <s v="High"/>
    <n v="1198"/>
    <n v="3"/>
    <n v="12"/>
    <n v="14376"/>
    <n v="1581.36"/>
    <x v="394"/>
    <n v="3594"/>
    <x v="391"/>
    <d v="2013-10-01T00:00:00"/>
    <n v="10"/>
    <s v="October"/>
    <x v="1"/>
    <m/>
  </r>
  <r>
    <x v="0"/>
    <x v="2"/>
    <s v="Paseo"/>
    <s v="High"/>
    <n v="2532"/>
    <n v="10"/>
    <n v="7"/>
    <n v="17724"/>
    <n v="1949.6399999999999"/>
    <x v="395"/>
    <n v="12660"/>
    <x v="392"/>
    <d v="2014-04-01T00:00:00"/>
    <n v="4"/>
    <s v="April"/>
    <x v="0"/>
    <m/>
  </r>
  <r>
    <x v="2"/>
    <x v="2"/>
    <s v="Paseo"/>
    <s v="High"/>
    <n v="1198"/>
    <n v="10"/>
    <n v="12"/>
    <n v="14376"/>
    <n v="1581.36"/>
    <x v="394"/>
    <n v="3594"/>
    <x v="391"/>
    <d v="2013-10-01T00:00:00"/>
    <n v="10"/>
    <s v="October"/>
    <x v="1"/>
    <m/>
  </r>
  <r>
    <x v="1"/>
    <x v="0"/>
    <s v="Velo"/>
    <s v="High"/>
    <n v="384"/>
    <n v="120"/>
    <n v="15"/>
    <n v="5760"/>
    <n v="633.59999999999991"/>
    <x v="396"/>
    <n v="3840"/>
    <x v="393"/>
    <d v="2014-01-01T00:00:00"/>
    <n v="1"/>
    <s v="January"/>
    <x v="0"/>
    <m/>
  </r>
  <r>
    <x v="2"/>
    <x v="1"/>
    <s v="Velo"/>
    <s v="High"/>
    <n v="472"/>
    <n v="120"/>
    <n v="12"/>
    <n v="5664"/>
    <n v="623.04"/>
    <x v="397"/>
    <n v="1416"/>
    <x v="394"/>
    <d v="2014-10-01T00:00:00"/>
    <n v="10"/>
    <s v="October"/>
    <x v="0"/>
    <m/>
  </r>
  <r>
    <x v="0"/>
    <x v="4"/>
    <s v="VTT"/>
    <s v="High"/>
    <n v="1579"/>
    <n v="250"/>
    <n v="7"/>
    <n v="11053"/>
    <n v="1215.83"/>
    <x v="398"/>
    <n v="7895"/>
    <x v="395"/>
    <d v="2014-03-01T00:00:00"/>
    <n v="3"/>
    <s v="March"/>
    <x v="0"/>
    <m/>
  </r>
  <r>
    <x v="2"/>
    <x v="3"/>
    <s v="VTT"/>
    <s v="High"/>
    <n v="1005"/>
    <n v="250"/>
    <n v="12"/>
    <n v="12060"/>
    <n v="1326.6"/>
    <x v="399"/>
    <n v="3015"/>
    <x v="396"/>
    <d v="2013-09-01T00:00:00"/>
    <n v="9"/>
    <s v="September"/>
    <x v="1"/>
    <m/>
  </r>
  <r>
    <x v="1"/>
    <x v="4"/>
    <s v="Amarilla"/>
    <s v="High"/>
    <n v="3199.5"/>
    <n v="260"/>
    <n v="15"/>
    <n v="47992.5"/>
    <n v="5279.1749999999993"/>
    <x v="400"/>
    <n v="31995"/>
    <x v="397"/>
    <d v="2014-07-01T00:00:00"/>
    <n v="7"/>
    <s v="July"/>
    <x v="0"/>
    <m/>
  </r>
  <r>
    <x v="2"/>
    <x v="1"/>
    <s v="Amarilla"/>
    <s v="High"/>
    <n v="472"/>
    <n v="260"/>
    <n v="12"/>
    <n v="5664"/>
    <n v="623.04"/>
    <x v="397"/>
    <n v="1416"/>
    <x v="394"/>
    <d v="2014-10-01T00:00:00"/>
    <n v="10"/>
    <s v="October"/>
    <x v="0"/>
    <m/>
  </r>
  <r>
    <x v="2"/>
    <x v="0"/>
    <s v="Carretera"/>
    <s v="High"/>
    <n v="1937"/>
    <n v="3"/>
    <n v="12"/>
    <n v="23244"/>
    <n v="2556.84"/>
    <x v="401"/>
    <n v="5811"/>
    <x v="398"/>
    <d v="2014-02-01T00:00:00"/>
    <n v="2"/>
    <s v="February"/>
    <x v="0"/>
    <m/>
  </r>
  <r>
    <x v="0"/>
    <x v="1"/>
    <s v="Carretera"/>
    <s v="High"/>
    <n v="792"/>
    <n v="3"/>
    <n v="350"/>
    <n v="277200"/>
    <n v="30492"/>
    <x v="402"/>
    <n v="205920"/>
    <x v="399"/>
    <d v="2014-03-01T00:00:00"/>
    <n v="3"/>
    <s v="March"/>
    <x v="0"/>
    <m/>
  </r>
  <r>
    <x v="4"/>
    <x v="1"/>
    <s v="Carretera"/>
    <s v="High"/>
    <n v="2811"/>
    <n v="3"/>
    <n v="300"/>
    <n v="843300"/>
    <n v="92763"/>
    <x v="403"/>
    <n v="702750"/>
    <x v="400"/>
    <d v="2014-07-01T00:00:00"/>
    <n v="7"/>
    <s v="July"/>
    <x v="0"/>
    <m/>
  </r>
  <r>
    <x v="3"/>
    <x v="2"/>
    <s v="Carretera"/>
    <s v="High"/>
    <n v="2441"/>
    <n v="3"/>
    <n v="125"/>
    <n v="305125"/>
    <n v="33563.75"/>
    <x v="404"/>
    <n v="292920"/>
    <x v="401"/>
    <d v="2014-10-01T00:00:00"/>
    <n v="10"/>
    <s v="October"/>
    <x v="0"/>
    <m/>
  </r>
  <r>
    <x v="1"/>
    <x v="0"/>
    <s v="Carretera"/>
    <s v="High"/>
    <n v="1560"/>
    <n v="3"/>
    <n v="15"/>
    <n v="23400"/>
    <n v="2574"/>
    <x v="405"/>
    <n v="15600"/>
    <x v="402"/>
    <d v="2013-11-01T00:00:00"/>
    <n v="11"/>
    <s v="November"/>
    <x v="1"/>
    <m/>
  </r>
  <r>
    <x v="0"/>
    <x v="3"/>
    <s v="Carretera"/>
    <s v="High"/>
    <n v="2706"/>
    <n v="3"/>
    <n v="7"/>
    <n v="18942"/>
    <n v="2083.62"/>
    <x v="406"/>
    <n v="13530"/>
    <x v="403"/>
    <d v="2013-11-01T00:00:00"/>
    <n v="11"/>
    <s v="November"/>
    <x v="1"/>
    <m/>
  </r>
  <r>
    <x v="0"/>
    <x v="1"/>
    <s v="Montana"/>
    <s v="High"/>
    <n v="766"/>
    <n v="5"/>
    <n v="350"/>
    <n v="268100"/>
    <n v="29491"/>
    <x v="407"/>
    <n v="199160"/>
    <x v="404"/>
    <d v="2014-01-01T00:00:00"/>
    <n v="1"/>
    <s v="January"/>
    <x v="0"/>
    <m/>
  </r>
  <r>
    <x v="0"/>
    <x v="1"/>
    <s v="Montana"/>
    <s v="High"/>
    <n v="2992"/>
    <n v="5"/>
    <n v="20"/>
    <n v="59840"/>
    <n v="6582.4"/>
    <x v="408"/>
    <n v="29920"/>
    <x v="405"/>
    <d v="2013-10-01T00:00:00"/>
    <n v="10"/>
    <s v="October"/>
    <x v="1"/>
    <m/>
  </r>
  <r>
    <x v="1"/>
    <x v="3"/>
    <s v="Montana"/>
    <s v="High"/>
    <n v="2157"/>
    <n v="5"/>
    <n v="15"/>
    <n v="32355"/>
    <n v="3559.05"/>
    <x v="409"/>
    <n v="21570"/>
    <x v="406"/>
    <d v="2014-12-01T00:00:00"/>
    <n v="12"/>
    <s v="December"/>
    <x v="0"/>
    <m/>
  </r>
  <r>
    <x v="4"/>
    <x v="0"/>
    <s v="Paseo"/>
    <s v="High"/>
    <n v="873"/>
    <n v="10"/>
    <n v="300"/>
    <n v="261900"/>
    <n v="28809"/>
    <x v="410"/>
    <n v="218250"/>
    <x v="407"/>
    <d v="2014-01-01T00:00:00"/>
    <n v="1"/>
    <s v="January"/>
    <x v="0"/>
    <m/>
  </r>
  <r>
    <x v="0"/>
    <x v="3"/>
    <s v="Paseo"/>
    <s v="High"/>
    <n v="1122"/>
    <n v="10"/>
    <n v="20"/>
    <n v="22440"/>
    <n v="2468.4"/>
    <x v="411"/>
    <n v="11220"/>
    <x v="408"/>
    <d v="2014-03-01T00:00:00"/>
    <n v="3"/>
    <s v="March"/>
    <x v="0"/>
    <m/>
  </r>
  <r>
    <x v="0"/>
    <x v="0"/>
    <s v="Paseo"/>
    <s v="High"/>
    <n v="2104.5"/>
    <n v="10"/>
    <n v="350"/>
    <n v="736575"/>
    <n v="81023.25"/>
    <x v="412"/>
    <n v="547170"/>
    <x v="409"/>
    <d v="2014-07-01T00:00:00"/>
    <n v="7"/>
    <s v="July"/>
    <x v="0"/>
    <m/>
  </r>
  <r>
    <x v="2"/>
    <x v="0"/>
    <s v="Paseo"/>
    <s v="High"/>
    <n v="4026"/>
    <n v="10"/>
    <n v="12"/>
    <n v="48312"/>
    <n v="5314.32"/>
    <x v="413"/>
    <n v="12078"/>
    <x v="410"/>
    <d v="2014-07-01T00:00:00"/>
    <n v="7"/>
    <s v="July"/>
    <x v="0"/>
    <m/>
  </r>
  <r>
    <x v="2"/>
    <x v="2"/>
    <s v="Paseo"/>
    <s v="High"/>
    <n v="2425.5"/>
    <n v="10"/>
    <n v="12"/>
    <n v="29106"/>
    <n v="3201.66"/>
    <x v="414"/>
    <n v="7276.5"/>
    <x v="411"/>
    <d v="2014-07-01T00:00:00"/>
    <n v="7"/>
    <s v="July"/>
    <x v="0"/>
    <m/>
  </r>
  <r>
    <x v="0"/>
    <x v="0"/>
    <s v="Paseo"/>
    <s v="High"/>
    <n v="2394"/>
    <n v="10"/>
    <n v="20"/>
    <n v="47880"/>
    <n v="5266.8"/>
    <x v="415"/>
    <n v="23940"/>
    <x v="412"/>
    <d v="2014-08-01T00:00:00"/>
    <n v="8"/>
    <s v="August"/>
    <x v="0"/>
    <m/>
  </r>
  <r>
    <x v="1"/>
    <x v="3"/>
    <s v="Paseo"/>
    <s v="High"/>
    <n v="1984"/>
    <n v="10"/>
    <n v="15"/>
    <n v="29760"/>
    <n v="3273.6"/>
    <x v="416"/>
    <n v="19840"/>
    <x v="413"/>
    <d v="2014-08-01T00:00:00"/>
    <n v="8"/>
    <s v="August"/>
    <x v="0"/>
    <m/>
  </r>
  <r>
    <x v="3"/>
    <x v="2"/>
    <s v="Paseo"/>
    <s v="High"/>
    <n v="2441"/>
    <n v="10"/>
    <n v="125"/>
    <n v="305125"/>
    <n v="33563.75"/>
    <x v="404"/>
    <n v="292920"/>
    <x v="401"/>
    <d v="2014-10-01T00:00:00"/>
    <n v="10"/>
    <s v="October"/>
    <x v="0"/>
    <m/>
  </r>
  <r>
    <x v="0"/>
    <x v="1"/>
    <s v="Paseo"/>
    <s v="High"/>
    <n v="2992"/>
    <n v="10"/>
    <n v="20"/>
    <n v="59840"/>
    <n v="6582.4"/>
    <x v="408"/>
    <n v="29920"/>
    <x v="405"/>
    <d v="2013-10-01T00:00:00"/>
    <n v="10"/>
    <s v="October"/>
    <x v="1"/>
    <m/>
  </r>
  <r>
    <x v="4"/>
    <x v="0"/>
    <s v="Paseo"/>
    <s v="High"/>
    <n v="1366"/>
    <n v="10"/>
    <n v="300"/>
    <n v="409800"/>
    <n v="45078"/>
    <x v="417"/>
    <n v="341500"/>
    <x v="414"/>
    <d v="2014-11-01T00:00:00"/>
    <n v="11"/>
    <s v="November"/>
    <x v="0"/>
    <m/>
  </r>
  <r>
    <x v="0"/>
    <x v="2"/>
    <s v="Velo"/>
    <s v="High"/>
    <n v="2805"/>
    <n v="120"/>
    <n v="20"/>
    <n v="56100"/>
    <n v="6171"/>
    <x v="418"/>
    <n v="28050"/>
    <x v="415"/>
    <d v="2013-09-01T00:00:00"/>
    <n v="9"/>
    <s v="September"/>
    <x v="1"/>
    <m/>
  </r>
  <r>
    <x v="1"/>
    <x v="3"/>
    <s v="Velo"/>
    <s v="High"/>
    <n v="655"/>
    <n v="120"/>
    <n v="15"/>
    <n v="9825"/>
    <n v="1080.75"/>
    <x v="419"/>
    <n v="6550"/>
    <x v="416"/>
    <d v="2013-09-01T00:00:00"/>
    <n v="9"/>
    <s v="September"/>
    <x v="1"/>
    <m/>
  </r>
  <r>
    <x v="0"/>
    <x v="3"/>
    <s v="Velo"/>
    <s v="High"/>
    <n v="344"/>
    <n v="120"/>
    <n v="350"/>
    <n v="120400"/>
    <n v="13244"/>
    <x v="420"/>
    <n v="89440"/>
    <x v="417"/>
    <d v="2013-10-01T00:00:00"/>
    <n v="10"/>
    <s v="October"/>
    <x v="1"/>
    <m/>
  </r>
  <r>
    <x v="0"/>
    <x v="0"/>
    <s v="Velo"/>
    <s v="High"/>
    <n v="1808"/>
    <n v="120"/>
    <n v="7"/>
    <n v="12656"/>
    <n v="1392.16"/>
    <x v="421"/>
    <n v="9040"/>
    <x v="418"/>
    <d v="2014-11-01T00:00:00"/>
    <n v="11"/>
    <s v="November"/>
    <x v="0"/>
    <m/>
  </r>
  <r>
    <x v="2"/>
    <x v="2"/>
    <s v="VTT"/>
    <s v="High"/>
    <n v="1734"/>
    <n v="250"/>
    <n v="12"/>
    <n v="20808"/>
    <n v="2288.88"/>
    <x v="422"/>
    <n v="5202"/>
    <x v="419"/>
    <d v="2014-01-01T00:00:00"/>
    <n v="1"/>
    <s v="January"/>
    <x v="0"/>
    <m/>
  </r>
  <r>
    <x v="3"/>
    <x v="3"/>
    <s v="VTT"/>
    <s v="High"/>
    <n v="554"/>
    <n v="250"/>
    <n v="125"/>
    <n v="69250"/>
    <n v="7617.5"/>
    <x v="423"/>
    <n v="66480"/>
    <x v="420"/>
    <d v="2014-01-01T00:00:00"/>
    <n v="1"/>
    <s v="January"/>
    <x v="0"/>
    <m/>
  </r>
  <r>
    <x v="0"/>
    <x v="0"/>
    <s v="VTT"/>
    <s v="High"/>
    <n v="2935"/>
    <n v="250"/>
    <n v="20"/>
    <n v="58700"/>
    <n v="6457"/>
    <x v="424"/>
    <n v="29350"/>
    <x v="421"/>
    <d v="2013-11-01T00:00:00"/>
    <n v="11"/>
    <s v="November"/>
    <x v="1"/>
    <m/>
  </r>
  <r>
    <x v="3"/>
    <x v="1"/>
    <s v="Amarilla"/>
    <s v="High"/>
    <n v="3165"/>
    <n v="260"/>
    <n v="125"/>
    <n v="395625"/>
    <n v="43518.75"/>
    <x v="425"/>
    <n v="379800"/>
    <x v="422"/>
    <d v="2014-01-01T00:00:00"/>
    <n v="1"/>
    <s v="January"/>
    <x v="0"/>
    <m/>
  </r>
  <r>
    <x v="0"/>
    <x v="3"/>
    <s v="Amarilla"/>
    <s v="High"/>
    <n v="2629"/>
    <n v="260"/>
    <n v="20"/>
    <n v="52580"/>
    <n v="5783.8"/>
    <x v="426"/>
    <n v="26290"/>
    <x v="423"/>
    <d v="2014-01-01T00:00:00"/>
    <n v="1"/>
    <s v="January"/>
    <x v="0"/>
    <m/>
  </r>
  <r>
    <x v="3"/>
    <x v="2"/>
    <s v="Amarilla"/>
    <s v="High"/>
    <n v="1433"/>
    <n v="260"/>
    <n v="125"/>
    <n v="179125"/>
    <n v="19703.75"/>
    <x v="427"/>
    <n v="171960"/>
    <x v="424"/>
    <d v="2014-05-01T00:00:00"/>
    <n v="5"/>
    <s v="May"/>
    <x v="0"/>
    <m/>
  </r>
  <r>
    <x v="3"/>
    <x v="3"/>
    <s v="Amarilla"/>
    <s v="High"/>
    <n v="947"/>
    <n v="260"/>
    <n v="125"/>
    <n v="118375"/>
    <n v="13021.25"/>
    <x v="428"/>
    <n v="113640"/>
    <x v="425"/>
    <d v="2013-09-01T00:00:00"/>
    <n v="9"/>
    <s v="September"/>
    <x v="1"/>
    <m/>
  </r>
  <r>
    <x v="0"/>
    <x v="3"/>
    <s v="Amarilla"/>
    <s v="High"/>
    <n v="344"/>
    <n v="260"/>
    <n v="350"/>
    <n v="120400"/>
    <n v="13244"/>
    <x v="420"/>
    <n v="89440"/>
    <x v="417"/>
    <d v="2013-10-01T00:00:00"/>
    <n v="10"/>
    <s v="October"/>
    <x v="1"/>
    <m/>
  </r>
  <r>
    <x v="1"/>
    <x v="3"/>
    <s v="Amarilla"/>
    <s v="High"/>
    <n v="2157"/>
    <n v="260"/>
    <n v="15"/>
    <n v="32355"/>
    <n v="3559.05"/>
    <x v="409"/>
    <n v="21570"/>
    <x v="406"/>
    <d v="2014-12-01T00:00:00"/>
    <n v="12"/>
    <s v="December"/>
    <x v="0"/>
    <m/>
  </r>
  <r>
    <x v="0"/>
    <x v="4"/>
    <s v="Paseo"/>
    <s v="High"/>
    <n v="380"/>
    <n v="10"/>
    <n v="7"/>
    <n v="2660"/>
    <n v="292.60000000000002"/>
    <x v="429"/>
    <n v="1900"/>
    <x v="426"/>
    <d v="2013-09-01T00:00:00"/>
    <n v="9"/>
    <s v="September"/>
    <x v="1"/>
    <m/>
  </r>
  <r>
    <x v="0"/>
    <x v="3"/>
    <s v="Carretera"/>
    <s v="High"/>
    <n v="886"/>
    <n v="3"/>
    <n v="350"/>
    <n v="310100"/>
    <n v="37212"/>
    <x v="430"/>
    <n v="230360"/>
    <x v="427"/>
    <d v="2014-06-01T00:00:00"/>
    <n v="6"/>
    <s v="June"/>
    <x v="0"/>
    <m/>
  </r>
  <r>
    <x v="3"/>
    <x v="0"/>
    <s v="Carretera"/>
    <s v="High"/>
    <n v="2416"/>
    <n v="3"/>
    <n v="125"/>
    <n v="302000"/>
    <n v="36240"/>
    <x v="431"/>
    <n v="289920"/>
    <x v="428"/>
    <d v="2013-09-01T00:00:00"/>
    <n v="9"/>
    <s v="September"/>
    <x v="1"/>
    <m/>
  </r>
  <r>
    <x v="3"/>
    <x v="3"/>
    <s v="Carretera"/>
    <s v="High"/>
    <n v="2156"/>
    <n v="3"/>
    <n v="125"/>
    <n v="269500"/>
    <n v="32340"/>
    <x v="432"/>
    <n v="258720"/>
    <x v="429"/>
    <d v="2014-10-01T00:00:00"/>
    <n v="10"/>
    <s v="October"/>
    <x v="0"/>
    <m/>
  </r>
  <r>
    <x v="1"/>
    <x v="0"/>
    <s v="Carretera"/>
    <s v="High"/>
    <n v="2689"/>
    <n v="3"/>
    <n v="15"/>
    <n v="40335"/>
    <n v="4840.2"/>
    <x v="433"/>
    <n v="26890"/>
    <x v="430"/>
    <d v="2014-11-01T00:00:00"/>
    <n v="11"/>
    <s v="November"/>
    <x v="0"/>
    <m/>
  </r>
  <r>
    <x v="1"/>
    <x v="4"/>
    <s v="Montana"/>
    <s v="High"/>
    <n v="677"/>
    <n v="5"/>
    <n v="15"/>
    <n v="10155"/>
    <n v="1218.5999999999999"/>
    <x v="434"/>
    <n v="6770"/>
    <x v="431"/>
    <d v="2014-03-01T00:00:00"/>
    <n v="3"/>
    <s v="March"/>
    <x v="0"/>
    <m/>
  </r>
  <r>
    <x v="4"/>
    <x v="2"/>
    <s v="Montana"/>
    <s v="High"/>
    <n v="1773"/>
    <n v="5"/>
    <n v="300"/>
    <n v="531900"/>
    <n v="63828"/>
    <x v="435"/>
    <n v="443250"/>
    <x v="432"/>
    <d v="2014-04-01T00:00:00"/>
    <n v="4"/>
    <s v="April"/>
    <x v="0"/>
    <m/>
  </r>
  <r>
    <x v="0"/>
    <x v="3"/>
    <s v="Montana"/>
    <s v="High"/>
    <n v="2420"/>
    <n v="5"/>
    <n v="7"/>
    <n v="16940"/>
    <n v="2032.8"/>
    <x v="436"/>
    <n v="12100"/>
    <x v="433"/>
    <d v="2014-09-01T00:00:00"/>
    <n v="9"/>
    <s v="September"/>
    <x v="0"/>
    <m/>
  </r>
  <r>
    <x v="0"/>
    <x v="0"/>
    <s v="Montana"/>
    <s v="High"/>
    <n v="2734"/>
    <n v="5"/>
    <n v="7"/>
    <n v="19138"/>
    <n v="2296.56"/>
    <x v="437"/>
    <n v="13670"/>
    <x v="434"/>
    <d v="2014-10-01T00:00:00"/>
    <n v="10"/>
    <s v="October"/>
    <x v="0"/>
    <m/>
  </r>
  <r>
    <x v="0"/>
    <x v="3"/>
    <s v="Montana"/>
    <s v="High"/>
    <n v="1715"/>
    <n v="5"/>
    <n v="20"/>
    <n v="34300"/>
    <n v="4116"/>
    <x v="438"/>
    <n v="17150"/>
    <x v="435"/>
    <d v="2013-10-01T00:00:00"/>
    <n v="10"/>
    <s v="October"/>
    <x v="1"/>
    <m/>
  </r>
  <r>
    <x v="4"/>
    <x v="2"/>
    <s v="Montana"/>
    <s v="High"/>
    <n v="1186"/>
    <n v="5"/>
    <n v="300"/>
    <n v="355800"/>
    <n v="42696"/>
    <x v="439"/>
    <n v="296500"/>
    <x v="436"/>
    <d v="2013-12-01T00:00:00"/>
    <n v="12"/>
    <s v="December"/>
    <x v="1"/>
    <m/>
  </r>
  <r>
    <x v="4"/>
    <x v="4"/>
    <s v="Paseo"/>
    <s v="High"/>
    <n v="3495"/>
    <n v="10"/>
    <n v="300"/>
    <n v="1048500"/>
    <n v="125820"/>
    <x v="440"/>
    <n v="873750"/>
    <x v="437"/>
    <d v="2014-01-01T00:00:00"/>
    <n v="1"/>
    <s v="January"/>
    <x v="0"/>
    <m/>
  </r>
  <r>
    <x v="0"/>
    <x v="3"/>
    <s v="Paseo"/>
    <s v="High"/>
    <n v="886"/>
    <n v="10"/>
    <n v="350"/>
    <n v="310100"/>
    <n v="37212"/>
    <x v="430"/>
    <n v="230360"/>
    <x v="427"/>
    <d v="2014-06-01T00:00:00"/>
    <n v="6"/>
    <s v="June"/>
    <x v="0"/>
    <m/>
  </r>
  <r>
    <x v="3"/>
    <x v="3"/>
    <s v="Paseo"/>
    <s v="High"/>
    <n v="2156"/>
    <n v="10"/>
    <n v="125"/>
    <n v="269500"/>
    <n v="32340"/>
    <x v="432"/>
    <n v="258720"/>
    <x v="429"/>
    <d v="2014-10-01T00:00:00"/>
    <n v="10"/>
    <s v="October"/>
    <x v="0"/>
    <m/>
  </r>
  <r>
    <x v="0"/>
    <x v="3"/>
    <s v="Paseo"/>
    <s v="High"/>
    <n v="905"/>
    <n v="10"/>
    <n v="20"/>
    <n v="18100"/>
    <n v="2172"/>
    <x v="441"/>
    <n v="9050"/>
    <x v="438"/>
    <d v="2014-10-01T00:00:00"/>
    <n v="10"/>
    <s v="October"/>
    <x v="0"/>
    <m/>
  </r>
  <r>
    <x v="0"/>
    <x v="3"/>
    <s v="Paseo"/>
    <s v="High"/>
    <n v="1715"/>
    <n v="10"/>
    <n v="20"/>
    <n v="34300"/>
    <n v="4116"/>
    <x v="438"/>
    <n v="17150"/>
    <x v="435"/>
    <d v="2013-10-01T00:00:00"/>
    <n v="10"/>
    <s v="October"/>
    <x v="1"/>
    <m/>
  </r>
  <r>
    <x v="0"/>
    <x v="2"/>
    <s v="Paseo"/>
    <s v="High"/>
    <n v="1594"/>
    <n v="10"/>
    <n v="350"/>
    <n v="557900"/>
    <n v="66948"/>
    <x v="442"/>
    <n v="414440"/>
    <x v="439"/>
    <d v="2014-11-01T00:00:00"/>
    <n v="11"/>
    <s v="November"/>
    <x v="0"/>
    <m/>
  </r>
  <r>
    <x v="4"/>
    <x v="1"/>
    <s v="Paseo"/>
    <s v="High"/>
    <n v="1359"/>
    <n v="10"/>
    <n v="300"/>
    <n v="407700"/>
    <n v="48924"/>
    <x v="443"/>
    <n v="339750"/>
    <x v="440"/>
    <d v="2014-11-01T00:00:00"/>
    <n v="11"/>
    <s v="November"/>
    <x v="0"/>
    <m/>
  </r>
  <r>
    <x v="4"/>
    <x v="3"/>
    <s v="Paseo"/>
    <s v="High"/>
    <n v="2150"/>
    <n v="10"/>
    <n v="300"/>
    <n v="645000"/>
    <n v="77400"/>
    <x v="444"/>
    <n v="537500"/>
    <x v="441"/>
    <d v="2014-11-01T00:00:00"/>
    <n v="11"/>
    <s v="November"/>
    <x v="0"/>
    <m/>
  </r>
  <r>
    <x v="0"/>
    <x v="3"/>
    <s v="Paseo"/>
    <s v="High"/>
    <n v="1197"/>
    <n v="10"/>
    <n v="350"/>
    <n v="418950"/>
    <n v="50274"/>
    <x v="445"/>
    <n v="311220"/>
    <x v="442"/>
    <d v="2014-11-01T00:00:00"/>
    <n v="11"/>
    <s v="November"/>
    <x v="0"/>
    <m/>
  </r>
  <r>
    <x v="1"/>
    <x v="3"/>
    <s v="Paseo"/>
    <s v="High"/>
    <n v="380"/>
    <n v="10"/>
    <n v="15"/>
    <n v="5700"/>
    <n v="684"/>
    <x v="446"/>
    <n v="3800"/>
    <x v="443"/>
    <d v="2013-12-01T00:00:00"/>
    <n v="12"/>
    <s v="December"/>
    <x v="1"/>
    <m/>
  </r>
  <r>
    <x v="0"/>
    <x v="3"/>
    <s v="Paseo"/>
    <s v="High"/>
    <n v="1233"/>
    <n v="10"/>
    <n v="20"/>
    <n v="24660"/>
    <n v="2959.2"/>
    <x v="447"/>
    <n v="12330"/>
    <x v="444"/>
    <d v="2014-12-01T00:00:00"/>
    <n v="12"/>
    <s v="December"/>
    <x v="0"/>
    <m/>
  </r>
  <r>
    <x v="0"/>
    <x v="3"/>
    <s v="Velo"/>
    <s v="High"/>
    <n v="1395"/>
    <n v="120"/>
    <n v="350"/>
    <n v="488250"/>
    <n v="58590"/>
    <x v="448"/>
    <n v="362700"/>
    <x v="445"/>
    <d v="2014-07-01T00:00:00"/>
    <n v="7"/>
    <s v="July"/>
    <x v="0"/>
    <m/>
  </r>
  <r>
    <x v="0"/>
    <x v="4"/>
    <s v="Velo"/>
    <s v="High"/>
    <n v="986"/>
    <n v="120"/>
    <n v="350"/>
    <n v="345100"/>
    <n v="41412"/>
    <x v="449"/>
    <n v="256360"/>
    <x v="446"/>
    <d v="2014-10-01T00:00:00"/>
    <n v="10"/>
    <s v="October"/>
    <x v="0"/>
    <m/>
  </r>
  <r>
    <x v="0"/>
    <x v="3"/>
    <s v="Velo"/>
    <s v="High"/>
    <n v="905"/>
    <n v="120"/>
    <n v="20"/>
    <n v="18100"/>
    <n v="2172"/>
    <x v="441"/>
    <n v="9050"/>
    <x v="438"/>
    <d v="2014-10-01T00:00:00"/>
    <n v="10"/>
    <s v="October"/>
    <x v="0"/>
    <m/>
  </r>
  <r>
    <x v="2"/>
    <x v="0"/>
    <s v="VTT"/>
    <s v="High"/>
    <n v="2109"/>
    <n v="250"/>
    <n v="12"/>
    <n v="25308"/>
    <n v="3036.96"/>
    <x v="450"/>
    <n v="6327"/>
    <x v="447"/>
    <d v="2014-05-01T00:00:00"/>
    <n v="5"/>
    <s v="May"/>
    <x v="0"/>
    <m/>
  </r>
  <r>
    <x v="1"/>
    <x v="2"/>
    <s v="VTT"/>
    <s v="High"/>
    <n v="3874.5"/>
    <n v="250"/>
    <n v="15"/>
    <n v="58117.5"/>
    <n v="6974.0999999999995"/>
    <x v="451"/>
    <n v="38745"/>
    <x v="448"/>
    <d v="2014-07-01T00:00:00"/>
    <n v="7"/>
    <s v="July"/>
    <x v="0"/>
    <m/>
  </r>
  <r>
    <x v="0"/>
    <x v="0"/>
    <s v="VTT"/>
    <s v="High"/>
    <n v="623"/>
    <n v="250"/>
    <n v="350"/>
    <n v="218050"/>
    <n v="26166"/>
    <x v="452"/>
    <n v="161980"/>
    <x v="449"/>
    <d v="2013-09-01T00:00:00"/>
    <n v="9"/>
    <s v="September"/>
    <x v="1"/>
    <m/>
  </r>
  <r>
    <x v="0"/>
    <x v="4"/>
    <s v="VTT"/>
    <s v="High"/>
    <n v="986"/>
    <n v="250"/>
    <n v="350"/>
    <n v="345100"/>
    <n v="41412"/>
    <x v="449"/>
    <n v="256360"/>
    <x v="446"/>
    <d v="2014-10-01T00:00:00"/>
    <n v="10"/>
    <s v="October"/>
    <x v="0"/>
    <m/>
  </r>
  <r>
    <x v="3"/>
    <x v="4"/>
    <s v="VTT"/>
    <s v="High"/>
    <n v="2387"/>
    <n v="250"/>
    <n v="125"/>
    <n v="298375"/>
    <n v="35805"/>
    <x v="453"/>
    <n v="286440"/>
    <x v="450"/>
    <d v="2014-11-01T00:00:00"/>
    <n v="11"/>
    <s v="November"/>
    <x v="0"/>
    <m/>
  </r>
  <r>
    <x v="0"/>
    <x v="3"/>
    <s v="VTT"/>
    <s v="High"/>
    <n v="1233"/>
    <n v="250"/>
    <n v="20"/>
    <n v="24660"/>
    <n v="2959.2"/>
    <x v="447"/>
    <n v="12330"/>
    <x v="444"/>
    <d v="2014-12-01T00:00:00"/>
    <n v="12"/>
    <s v="December"/>
    <x v="0"/>
    <m/>
  </r>
  <r>
    <x v="0"/>
    <x v="4"/>
    <s v="Amarilla"/>
    <s v="High"/>
    <n v="270"/>
    <n v="260"/>
    <n v="350"/>
    <n v="94500"/>
    <n v="11340"/>
    <x v="454"/>
    <n v="70200"/>
    <x v="451"/>
    <d v="2014-02-01T00:00:00"/>
    <n v="2"/>
    <s v="February"/>
    <x v="0"/>
    <m/>
  </r>
  <r>
    <x v="0"/>
    <x v="2"/>
    <s v="Amarilla"/>
    <s v="High"/>
    <n v="3421.5"/>
    <n v="260"/>
    <n v="7"/>
    <n v="23950.5"/>
    <n v="2874.06"/>
    <x v="455"/>
    <n v="17107.5"/>
    <x v="452"/>
    <d v="2014-07-01T00:00:00"/>
    <n v="7"/>
    <s v="July"/>
    <x v="0"/>
    <m/>
  </r>
  <r>
    <x v="0"/>
    <x v="0"/>
    <s v="Amarilla"/>
    <s v="High"/>
    <n v="2734"/>
    <n v="260"/>
    <n v="7"/>
    <n v="19138"/>
    <n v="2296.56"/>
    <x v="437"/>
    <n v="13670"/>
    <x v="434"/>
    <d v="2014-10-01T00:00:00"/>
    <n v="10"/>
    <s v="October"/>
    <x v="0"/>
    <m/>
  </r>
  <r>
    <x v="1"/>
    <x v="4"/>
    <s v="Amarilla"/>
    <s v="High"/>
    <n v="2548"/>
    <n v="260"/>
    <n v="15"/>
    <n v="38220"/>
    <n v="4586.3999999999996"/>
    <x v="456"/>
    <n v="25480"/>
    <x v="453"/>
    <d v="2013-11-01T00:00:00"/>
    <n v="11"/>
    <s v="November"/>
    <x v="1"/>
    <m/>
  </r>
  <r>
    <x v="0"/>
    <x v="2"/>
    <s v="Carretera"/>
    <s v="High"/>
    <n v="2521.5"/>
    <n v="3"/>
    <n v="20"/>
    <n v="50430"/>
    <n v="6051.6"/>
    <x v="457"/>
    <n v="25215"/>
    <x v="454"/>
    <d v="2014-01-01T00:00:00"/>
    <n v="1"/>
    <s v="January"/>
    <x v="0"/>
    <m/>
  </r>
  <r>
    <x v="2"/>
    <x v="3"/>
    <s v="Montana"/>
    <s v="High"/>
    <n v="2661"/>
    <n v="5"/>
    <n v="12"/>
    <n v="31932"/>
    <n v="3831.84"/>
    <x v="458"/>
    <n v="7983"/>
    <x v="455"/>
    <d v="2014-05-01T00:00:00"/>
    <n v="5"/>
    <s v="May"/>
    <x v="0"/>
    <m/>
  </r>
  <r>
    <x v="0"/>
    <x v="1"/>
    <s v="Paseo"/>
    <s v="High"/>
    <n v="1531"/>
    <n v="10"/>
    <n v="20"/>
    <n v="30620"/>
    <n v="3674.4"/>
    <x v="459"/>
    <n v="15310"/>
    <x v="456"/>
    <d v="2014-12-01T00:00:00"/>
    <n v="12"/>
    <s v="December"/>
    <x v="0"/>
    <m/>
  </r>
  <r>
    <x v="0"/>
    <x v="2"/>
    <s v="VTT"/>
    <s v="High"/>
    <n v="1491"/>
    <n v="250"/>
    <n v="7"/>
    <n v="10437"/>
    <n v="1252.44"/>
    <x v="460"/>
    <n v="7455"/>
    <x v="457"/>
    <d v="2014-03-01T00:00:00"/>
    <n v="3"/>
    <s v="March"/>
    <x v="0"/>
    <m/>
  </r>
  <r>
    <x v="0"/>
    <x v="1"/>
    <s v="VTT"/>
    <s v="High"/>
    <n v="1531"/>
    <n v="250"/>
    <n v="20"/>
    <n v="30620"/>
    <n v="3674.4"/>
    <x v="459"/>
    <n v="15310"/>
    <x v="456"/>
    <d v="2014-12-01T00:00:00"/>
    <n v="12"/>
    <s v="December"/>
    <x v="0"/>
    <m/>
  </r>
  <r>
    <x v="2"/>
    <x v="0"/>
    <s v="Amarilla"/>
    <s v="High"/>
    <n v="2761"/>
    <n v="260"/>
    <n v="12"/>
    <n v="33132"/>
    <n v="3975.84"/>
    <x v="461"/>
    <n v="8283"/>
    <x v="458"/>
    <d v="2013-09-01T00:00:00"/>
    <n v="9"/>
    <s v="September"/>
    <x v="1"/>
    <m/>
  </r>
  <r>
    <x v="1"/>
    <x v="4"/>
    <s v="Carretera"/>
    <s v="High"/>
    <n v="2567"/>
    <n v="3"/>
    <n v="15"/>
    <n v="38505"/>
    <n v="5005.6499999999996"/>
    <x v="462"/>
    <n v="25670"/>
    <x v="459"/>
    <d v="2014-06-01T00:00:00"/>
    <n v="6"/>
    <s v="June"/>
    <x v="0"/>
    <m/>
  </r>
  <r>
    <x v="1"/>
    <x v="4"/>
    <s v="VTT"/>
    <s v="High"/>
    <n v="2567"/>
    <n v="250"/>
    <n v="15"/>
    <n v="38505"/>
    <n v="5005.6499999999996"/>
    <x v="462"/>
    <n v="25670"/>
    <x v="459"/>
    <d v="2014-06-01T00:00:00"/>
    <n v="6"/>
    <s v="June"/>
    <x v="0"/>
    <m/>
  </r>
  <r>
    <x v="0"/>
    <x v="0"/>
    <s v="Carretera"/>
    <s v="High"/>
    <n v="923"/>
    <n v="3"/>
    <n v="350"/>
    <n v="323050"/>
    <n v="41996.5"/>
    <x v="463"/>
    <n v="239980"/>
    <x v="460"/>
    <d v="2014-03-01T00:00:00"/>
    <n v="3"/>
    <s v="March"/>
    <x v="0"/>
    <m/>
  </r>
  <r>
    <x v="0"/>
    <x v="2"/>
    <s v="Carretera"/>
    <s v="High"/>
    <n v="1790"/>
    <n v="3"/>
    <n v="350"/>
    <n v="626500"/>
    <n v="81445"/>
    <x v="464"/>
    <n v="465400"/>
    <x v="461"/>
    <d v="2014-03-01T00:00:00"/>
    <n v="3"/>
    <s v="March"/>
    <x v="0"/>
    <m/>
  </r>
  <r>
    <x v="0"/>
    <x v="1"/>
    <s v="Carretera"/>
    <s v="High"/>
    <n v="442"/>
    <n v="3"/>
    <n v="20"/>
    <n v="8840"/>
    <n v="1149.2"/>
    <x v="465"/>
    <n v="4420"/>
    <x v="462"/>
    <d v="2013-09-01T00:00:00"/>
    <n v="9"/>
    <s v="September"/>
    <x v="1"/>
    <m/>
  </r>
  <r>
    <x v="0"/>
    <x v="4"/>
    <s v="Montana"/>
    <s v="High"/>
    <n v="982.5"/>
    <n v="5"/>
    <n v="350"/>
    <n v="343875"/>
    <n v="44703.75"/>
    <x v="466"/>
    <n v="255450"/>
    <x v="463"/>
    <d v="2014-01-01T00:00:00"/>
    <n v="1"/>
    <s v="January"/>
    <x v="0"/>
    <m/>
  </r>
  <r>
    <x v="0"/>
    <x v="4"/>
    <s v="Montana"/>
    <s v="High"/>
    <n v="1298"/>
    <n v="5"/>
    <n v="7"/>
    <n v="9086"/>
    <n v="1181.18"/>
    <x v="467"/>
    <n v="6490"/>
    <x v="464"/>
    <d v="2014-02-01T00:00:00"/>
    <n v="2"/>
    <s v="February"/>
    <x v="0"/>
    <m/>
  </r>
  <r>
    <x v="2"/>
    <x v="3"/>
    <s v="Montana"/>
    <s v="High"/>
    <n v="604"/>
    <n v="5"/>
    <n v="12"/>
    <n v="7248"/>
    <n v="942.24"/>
    <x v="468"/>
    <n v="1812"/>
    <x v="465"/>
    <d v="2014-06-01T00:00:00"/>
    <n v="6"/>
    <s v="June"/>
    <x v="0"/>
    <m/>
  </r>
  <r>
    <x v="0"/>
    <x v="3"/>
    <s v="Montana"/>
    <s v="High"/>
    <n v="2255"/>
    <n v="5"/>
    <n v="20"/>
    <n v="45100"/>
    <n v="5863"/>
    <x v="469"/>
    <n v="22550"/>
    <x v="466"/>
    <d v="2014-07-01T00:00:00"/>
    <n v="7"/>
    <s v="July"/>
    <x v="0"/>
    <m/>
  </r>
  <r>
    <x v="0"/>
    <x v="0"/>
    <s v="Montana"/>
    <s v="High"/>
    <n v="1249"/>
    <n v="5"/>
    <n v="20"/>
    <n v="24980"/>
    <n v="3247.4"/>
    <x v="470"/>
    <n v="12490"/>
    <x v="467"/>
    <d v="2014-10-01T00:00:00"/>
    <n v="10"/>
    <s v="October"/>
    <x v="0"/>
    <m/>
  </r>
  <r>
    <x v="0"/>
    <x v="4"/>
    <s v="Paseo"/>
    <s v="High"/>
    <n v="1438.5"/>
    <n v="10"/>
    <n v="7"/>
    <n v="10069.5"/>
    <n v="1309.0350000000001"/>
    <x v="471"/>
    <n v="7192.5"/>
    <x v="468"/>
    <d v="2014-01-01T00:00:00"/>
    <n v="1"/>
    <s v="January"/>
    <x v="0"/>
    <m/>
  </r>
  <r>
    <x v="4"/>
    <x v="1"/>
    <s v="Paseo"/>
    <s v="High"/>
    <n v="807"/>
    <n v="10"/>
    <n v="300"/>
    <n v="242100"/>
    <n v="31473"/>
    <x v="472"/>
    <n v="201750"/>
    <x v="469"/>
    <d v="2014-01-01T00:00:00"/>
    <n v="1"/>
    <s v="January"/>
    <x v="0"/>
    <m/>
  </r>
  <r>
    <x v="0"/>
    <x v="4"/>
    <s v="Paseo"/>
    <s v="High"/>
    <n v="2641"/>
    <n v="10"/>
    <n v="20"/>
    <n v="52820"/>
    <n v="6866.6"/>
    <x v="473"/>
    <n v="26410"/>
    <x v="470"/>
    <d v="2014-02-01T00:00:00"/>
    <n v="2"/>
    <s v="February"/>
    <x v="0"/>
    <m/>
  </r>
  <r>
    <x v="0"/>
    <x v="1"/>
    <s v="Paseo"/>
    <s v="High"/>
    <n v="2708"/>
    <n v="10"/>
    <n v="20"/>
    <n v="54160"/>
    <n v="7040.8"/>
    <x v="474"/>
    <n v="27080"/>
    <x v="471"/>
    <d v="2014-02-01T00:00:00"/>
    <n v="2"/>
    <s v="February"/>
    <x v="0"/>
    <m/>
  </r>
  <r>
    <x v="0"/>
    <x v="0"/>
    <s v="Paseo"/>
    <s v="High"/>
    <n v="2632"/>
    <n v="10"/>
    <n v="350"/>
    <n v="921200"/>
    <n v="119756"/>
    <x v="475"/>
    <n v="684320"/>
    <x v="472"/>
    <d v="2014-06-01T00:00:00"/>
    <n v="6"/>
    <s v="June"/>
    <x v="0"/>
    <m/>
  </r>
  <r>
    <x v="3"/>
    <x v="0"/>
    <s v="Paseo"/>
    <s v="High"/>
    <n v="1583"/>
    <n v="10"/>
    <n v="125"/>
    <n v="197875"/>
    <n v="25723.75"/>
    <x v="476"/>
    <n v="189960"/>
    <x v="473"/>
    <d v="2014-06-01T00:00:00"/>
    <n v="6"/>
    <s v="June"/>
    <x v="0"/>
    <m/>
  </r>
  <r>
    <x v="2"/>
    <x v="3"/>
    <s v="Paseo"/>
    <s v="High"/>
    <n v="571"/>
    <n v="10"/>
    <n v="12"/>
    <n v="6852"/>
    <n v="890.76"/>
    <x v="477"/>
    <n v="1713"/>
    <x v="474"/>
    <d v="2014-07-01T00:00:00"/>
    <n v="7"/>
    <s v="July"/>
    <x v="0"/>
    <m/>
  </r>
  <r>
    <x v="0"/>
    <x v="2"/>
    <s v="Paseo"/>
    <s v="High"/>
    <n v="2696"/>
    <n v="10"/>
    <n v="7"/>
    <n v="18872"/>
    <n v="2453.36"/>
    <x v="478"/>
    <n v="13480"/>
    <x v="475"/>
    <d v="2014-08-01T00:00:00"/>
    <n v="8"/>
    <s v="August"/>
    <x v="0"/>
    <m/>
  </r>
  <r>
    <x v="1"/>
    <x v="0"/>
    <s v="Paseo"/>
    <s v="High"/>
    <n v="1565"/>
    <n v="10"/>
    <n v="15"/>
    <n v="23475"/>
    <n v="3051.75"/>
    <x v="479"/>
    <n v="15650"/>
    <x v="476"/>
    <d v="2014-10-01T00:00:00"/>
    <n v="10"/>
    <s v="October"/>
    <x v="0"/>
    <m/>
  </r>
  <r>
    <x v="0"/>
    <x v="0"/>
    <s v="Paseo"/>
    <s v="High"/>
    <n v="1249"/>
    <n v="10"/>
    <n v="20"/>
    <n v="24980"/>
    <n v="3247.4"/>
    <x v="470"/>
    <n v="12490"/>
    <x v="467"/>
    <d v="2014-10-01T00:00:00"/>
    <n v="10"/>
    <s v="October"/>
    <x v="0"/>
    <m/>
  </r>
  <r>
    <x v="0"/>
    <x v="1"/>
    <s v="Paseo"/>
    <s v="High"/>
    <n v="357"/>
    <n v="10"/>
    <n v="350"/>
    <n v="124950"/>
    <n v="16243.5"/>
    <x v="480"/>
    <n v="92820"/>
    <x v="477"/>
    <d v="2014-11-01T00:00:00"/>
    <n v="11"/>
    <s v="November"/>
    <x v="0"/>
    <m/>
  </r>
  <r>
    <x v="2"/>
    <x v="1"/>
    <s v="Paseo"/>
    <s v="High"/>
    <n v="1013"/>
    <n v="10"/>
    <n v="12"/>
    <n v="12156"/>
    <n v="1580.28"/>
    <x v="481"/>
    <n v="3039"/>
    <x v="478"/>
    <d v="2014-12-01T00:00:00"/>
    <n v="12"/>
    <s v="December"/>
    <x v="0"/>
    <m/>
  </r>
  <r>
    <x v="1"/>
    <x v="2"/>
    <s v="Velo"/>
    <s v="High"/>
    <n v="3997.5"/>
    <n v="120"/>
    <n v="15"/>
    <n v="59962.5"/>
    <n v="7795.125"/>
    <x v="482"/>
    <n v="39975"/>
    <x v="479"/>
    <d v="2014-01-01T00:00:00"/>
    <n v="1"/>
    <s v="January"/>
    <x v="0"/>
    <m/>
  </r>
  <r>
    <x v="0"/>
    <x v="0"/>
    <s v="Velo"/>
    <s v="High"/>
    <n v="2632"/>
    <n v="120"/>
    <n v="350"/>
    <n v="921200"/>
    <n v="119756"/>
    <x v="475"/>
    <n v="684320"/>
    <x v="472"/>
    <d v="2014-06-01T00:00:00"/>
    <n v="6"/>
    <s v="June"/>
    <x v="0"/>
    <m/>
  </r>
  <r>
    <x v="0"/>
    <x v="2"/>
    <s v="Velo"/>
    <s v="High"/>
    <n v="1190"/>
    <n v="120"/>
    <n v="7"/>
    <n v="8330"/>
    <n v="1082.9000000000001"/>
    <x v="483"/>
    <n v="5950"/>
    <x v="480"/>
    <d v="2014-06-01T00:00:00"/>
    <n v="6"/>
    <s v="June"/>
    <x v="0"/>
    <m/>
  </r>
  <r>
    <x v="2"/>
    <x v="3"/>
    <s v="Velo"/>
    <s v="High"/>
    <n v="604"/>
    <n v="120"/>
    <n v="12"/>
    <n v="7248"/>
    <n v="942.24"/>
    <x v="468"/>
    <n v="1812"/>
    <x v="465"/>
    <d v="2014-06-01T00:00:00"/>
    <n v="6"/>
    <s v="June"/>
    <x v="0"/>
    <m/>
  </r>
  <r>
    <x v="1"/>
    <x v="1"/>
    <s v="Velo"/>
    <s v="High"/>
    <n v="660"/>
    <n v="120"/>
    <n v="15"/>
    <n v="9900"/>
    <n v="1287"/>
    <x v="484"/>
    <n v="6600"/>
    <x v="481"/>
    <d v="2013-09-01T00:00:00"/>
    <n v="9"/>
    <s v="September"/>
    <x v="1"/>
    <m/>
  </r>
  <r>
    <x v="2"/>
    <x v="3"/>
    <s v="Velo"/>
    <s v="High"/>
    <n v="410"/>
    <n v="120"/>
    <n v="12"/>
    <n v="4920"/>
    <n v="639.6"/>
    <x v="485"/>
    <n v="1230"/>
    <x v="482"/>
    <d v="2014-10-01T00:00:00"/>
    <n v="10"/>
    <s v="October"/>
    <x v="0"/>
    <m/>
  </r>
  <r>
    <x v="4"/>
    <x v="3"/>
    <s v="Velo"/>
    <s v="High"/>
    <n v="2605"/>
    <n v="120"/>
    <n v="300"/>
    <n v="781500"/>
    <n v="101595"/>
    <x v="486"/>
    <n v="651250"/>
    <x v="483"/>
    <d v="2013-11-01T00:00:00"/>
    <n v="11"/>
    <s v="November"/>
    <x v="1"/>
    <m/>
  </r>
  <r>
    <x v="2"/>
    <x v="1"/>
    <s v="Velo"/>
    <s v="High"/>
    <n v="1013"/>
    <n v="120"/>
    <n v="12"/>
    <n v="12156"/>
    <n v="1580.28"/>
    <x v="481"/>
    <n v="3039"/>
    <x v="478"/>
    <d v="2014-12-01T00:00:00"/>
    <n v="12"/>
    <s v="December"/>
    <x v="0"/>
    <m/>
  </r>
  <r>
    <x v="3"/>
    <x v="0"/>
    <s v="VTT"/>
    <s v="High"/>
    <n v="1583"/>
    <n v="250"/>
    <n v="125"/>
    <n v="197875"/>
    <n v="25723.75"/>
    <x v="476"/>
    <n v="189960"/>
    <x v="473"/>
    <d v="2014-06-01T00:00:00"/>
    <n v="6"/>
    <s v="June"/>
    <x v="0"/>
    <m/>
  </r>
  <r>
    <x v="1"/>
    <x v="0"/>
    <s v="VTT"/>
    <s v="High"/>
    <n v="1565"/>
    <n v="250"/>
    <n v="15"/>
    <n v="23475"/>
    <n v="3051.75"/>
    <x v="479"/>
    <n v="15650"/>
    <x v="476"/>
    <d v="2014-10-01T00:00:00"/>
    <n v="10"/>
    <s v="October"/>
    <x v="0"/>
    <m/>
  </r>
  <r>
    <x v="3"/>
    <x v="0"/>
    <s v="Amarilla"/>
    <s v="High"/>
    <n v="1659"/>
    <n v="260"/>
    <n v="125"/>
    <n v="207375"/>
    <n v="26958.75"/>
    <x v="487"/>
    <n v="199080"/>
    <x v="484"/>
    <d v="2014-01-01T00:00:00"/>
    <n v="1"/>
    <s v="January"/>
    <x v="0"/>
    <m/>
  </r>
  <r>
    <x v="0"/>
    <x v="2"/>
    <s v="Amarilla"/>
    <s v="High"/>
    <n v="1190"/>
    <n v="260"/>
    <n v="7"/>
    <n v="8330"/>
    <n v="1082.9000000000001"/>
    <x v="483"/>
    <n v="5950"/>
    <x v="480"/>
    <d v="2014-06-01T00:00:00"/>
    <n v="6"/>
    <s v="June"/>
    <x v="0"/>
    <m/>
  </r>
  <r>
    <x v="2"/>
    <x v="3"/>
    <s v="Amarilla"/>
    <s v="High"/>
    <n v="410"/>
    <n v="260"/>
    <n v="12"/>
    <n v="4920"/>
    <n v="639.6"/>
    <x v="485"/>
    <n v="1230"/>
    <x v="482"/>
    <d v="2014-10-01T00:00:00"/>
    <n v="10"/>
    <s v="October"/>
    <x v="0"/>
    <m/>
  </r>
  <r>
    <x v="2"/>
    <x v="1"/>
    <s v="Amarilla"/>
    <s v="High"/>
    <n v="1770"/>
    <n v="260"/>
    <n v="12"/>
    <n v="21240"/>
    <n v="2761.2"/>
    <x v="488"/>
    <n v="5310"/>
    <x v="485"/>
    <d v="2013-12-01T00:00:00"/>
    <n v="12"/>
    <s v="December"/>
    <x v="1"/>
    <m/>
  </r>
  <r>
    <x v="0"/>
    <x v="3"/>
    <s v="Carretera"/>
    <s v="High"/>
    <n v="2579"/>
    <n v="3"/>
    <n v="20"/>
    <n v="51580"/>
    <n v="7221.2"/>
    <x v="489"/>
    <n v="25790"/>
    <x v="486"/>
    <d v="2014-04-01T00:00:00"/>
    <n v="4"/>
    <s v="April"/>
    <x v="0"/>
    <m/>
  </r>
  <r>
    <x v="0"/>
    <x v="4"/>
    <s v="Carretera"/>
    <s v="High"/>
    <n v="1743"/>
    <n v="3"/>
    <n v="20"/>
    <n v="34860"/>
    <n v="4880.3999999999996"/>
    <x v="490"/>
    <n v="17430"/>
    <x v="487"/>
    <d v="2014-05-01T00:00:00"/>
    <n v="5"/>
    <s v="May"/>
    <x v="0"/>
    <m/>
  </r>
  <r>
    <x v="0"/>
    <x v="4"/>
    <s v="Carretera"/>
    <s v="High"/>
    <n v="2996"/>
    <n v="3"/>
    <n v="7"/>
    <n v="20972"/>
    <n v="2936.08"/>
    <x v="491"/>
    <n v="14980"/>
    <x v="488"/>
    <d v="2013-10-01T00:00:00"/>
    <n v="10"/>
    <s v="October"/>
    <x v="1"/>
    <m/>
  </r>
  <r>
    <x v="0"/>
    <x v="1"/>
    <s v="Carretera"/>
    <s v="High"/>
    <n v="280"/>
    <n v="3"/>
    <n v="7"/>
    <n v="1960"/>
    <n v="274.39999999999998"/>
    <x v="492"/>
    <n v="1400"/>
    <x v="489"/>
    <d v="2014-12-01T00:00:00"/>
    <n v="12"/>
    <s v="December"/>
    <x v="0"/>
    <m/>
  </r>
  <r>
    <x v="0"/>
    <x v="2"/>
    <s v="Montana"/>
    <s v="High"/>
    <n v="293"/>
    <n v="5"/>
    <n v="7"/>
    <n v="2051"/>
    <n v="287.14"/>
    <x v="493"/>
    <n v="1465"/>
    <x v="490"/>
    <d v="2014-02-01T00:00:00"/>
    <n v="2"/>
    <s v="February"/>
    <x v="0"/>
    <m/>
  </r>
  <r>
    <x v="0"/>
    <x v="4"/>
    <s v="Montana"/>
    <s v="High"/>
    <n v="2996"/>
    <n v="5"/>
    <n v="7"/>
    <n v="20972"/>
    <n v="2936.08"/>
    <x v="491"/>
    <n v="14980"/>
    <x v="488"/>
    <d v="2013-10-01T00:00:00"/>
    <n v="10"/>
    <s v="October"/>
    <x v="1"/>
    <m/>
  </r>
  <r>
    <x v="1"/>
    <x v="1"/>
    <s v="Paseo"/>
    <s v="High"/>
    <n v="278"/>
    <n v="10"/>
    <n v="15"/>
    <n v="4170"/>
    <n v="583.79999999999995"/>
    <x v="494"/>
    <n v="2780"/>
    <x v="491"/>
    <d v="2014-02-01T00:00:00"/>
    <n v="2"/>
    <s v="February"/>
    <x v="0"/>
    <m/>
  </r>
  <r>
    <x v="0"/>
    <x v="0"/>
    <s v="Paseo"/>
    <s v="High"/>
    <n v="2428"/>
    <n v="10"/>
    <n v="20"/>
    <n v="48560"/>
    <n v="6798.4"/>
    <x v="495"/>
    <n v="24280"/>
    <x v="492"/>
    <d v="2014-03-01T00:00:00"/>
    <n v="3"/>
    <s v="March"/>
    <x v="0"/>
    <m/>
  </r>
  <r>
    <x v="1"/>
    <x v="4"/>
    <s v="Paseo"/>
    <s v="High"/>
    <n v="1767"/>
    <n v="10"/>
    <n v="15"/>
    <n v="26505"/>
    <n v="3710.7"/>
    <x v="496"/>
    <n v="17670"/>
    <x v="493"/>
    <d v="2014-09-01T00:00:00"/>
    <n v="9"/>
    <s v="September"/>
    <x v="0"/>
    <m/>
  </r>
  <r>
    <x v="2"/>
    <x v="2"/>
    <s v="Paseo"/>
    <s v="High"/>
    <n v="1393"/>
    <n v="10"/>
    <n v="12"/>
    <n v="16716"/>
    <n v="2340.2399999999998"/>
    <x v="497"/>
    <n v="4179"/>
    <x v="494"/>
    <d v="2014-10-01T00:00:00"/>
    <n v="10"/>
    <s v="October"/>
    <x v="0"/>
    <m/>
  </r>
  <r>
    <x v="0"/>
    <x v="1"/>
    <s v="VTT"/>
    <s v="High"/>
    <n v="280"/>
    <n v="250"/>
    <n v="7"/>
    <n v="1960"/>
    <n v="274.39999999999998"/>
    <x v="492"/>
    <n v="1400"/>
    <x v="489"/>
    <d v="2014-12-01T00:00:00"/>
    <n v="12"/>
    <s v="December"/>
    <x v="0"/>
    <m/>
  </r>
  <r>
    <x v="2"/>
    <x v="2"/>
    <s v="Amarilla"/>
    <s v="High"/>
    <n v="1393"/>
    <n v="260"/>
    <n v="12"/>
    <n v="16716"/>
    <n v="2340.2399999999998"/>
    <x v="497"/>
    <n v="4179"/>
    <x v="494"/>
    <d v="2014-10-01T00:00:00"/>
    <n v="10"/>
    <s v="October"/>
    <x v="0"/>
    <m/>
  </r>
  <r>
    <x v="2"/>
    <x v="4"/>
    <s v="Amarilla"/>
    <s v="High"/>
    <n v="2015"/>
    <n v="260"/>
    <n v="12"/>
    <n v="24180"/>
    <n v="3385.2"/>
    <x v="279"/>
    <n v="6045"/>
    <x v="495"/>
    <d v="2013-12-01T00:00:00"/>
    <n v="12"/>
    <s v="December"/>
    <x v="1"/>
    <m/>
  </r>
  <r>
    <x v="4"/>
    <x v="3"/>
    <s v="Carretera"/>
    <s v="High"/>
    <n v="801"/>
    <n v="3"/>
    <n v="300"/>
    <n v="240300"/>
    <n v="33642"/>
    <x v="498"/>
    <n v="200250"/>
    <x v="496"/>
    <d v="2014-07-01T00:00:00"/>
    <n v="7"/>
    <s v="July"/>
    <x v="0"/>
    <m/>
  </r>
  <r>
    <x v="3"/>
    <x v="2"/>
    <s v="Carretera"/>
    <s v="High"/>
    <n v="1023"/>
    <n v="3"/>
    <n v="125"/>
    <n v="127875"/>
    <n v="17902.5"/>
    <x v="499"/>
    <n v="122760"/>
    <x v="497"/>
    <d v="2013-09-01T00:00:00"/>
    <n v="9"/>
    <s v="September"/>
    <x v="1"/>
    <m/>
  </r>
  <r>
    <x v="4"/>
    <x v="0"/>
    <s v="Carretera"/>
    <s v="High"/>
    <n v="1496"/>
    <n v="3"/>
    <n v="300"/>
    <n v="448800"/>
    <n v="62832"/>
    <x v="500"/>
    <n v="374000"/>
    <x v="498"/>
    <d v="2014-10-01T00:00:00"/>
    <n v="10"/>
    <s v="October"/>
    <x v="0"/>
    <m/>
  </r>
  <r>
    <x v="4"/>
    <x v="4"/>
    <s v="Carretera"/>
    <s v="High"/>
    <n v="1010"/>
    <n v="3"/>
    <n v="300"/>
    <n v="303000"/>
    <n v="42420"/>
    <x v="501"/>
    <n v="252500"/>
    <x v="499"/>
    <d v="2014-10-01T00:00:00"/>
    <n v="10"/>
    <s v="October"/>
    <x v="0"/>
    <m/>
  </r>
  <r>
    <x v="1"/>
    <x v="1"/>
    <s v="Carretera"/>
    <s v="High"/>
    <n v="1513"/>
    <n v="3"/>
    <n v="15"/>
    <n v="22695"/>
    <n v="3177.3"/>
    <x v="502"/>
    <n v="15130"/>
    <x v="500"/>
    <d v="2014-11-01T00:00:00"/>
    <n v="11"/>
    <s v="November"/>
    <x v="0"/>
    <m/>
  </r>
  <r>
    <x v="1"/>
    <x v="0"/>
    <s v="Carretera"/>
    <s v="High"/>
    <n v="2300"/>
    <n v="3"/>
    <n v="15"/>
    <n v="34500"/>
    <n v="4830"/>
    <x v="503"/>
    <n v="23000"/>
    <x v="501"/>
    <d v="2014-12-01T00:00:00"/>
    <n v="12"/>
    <s v="December"/>
    <x v="0"/>
    <m/>
  </r>
  <r>
    <x v="3"/>
    <x v="3"/>
    <s v="Carretera"/>
    <s v="High"/>
    <n v="2821"/>
    <n v="3"/>
    <n v="125"/>
    <n v="352625"/>
    <n v="49367.5"/>
    <x v="504"/>
    <n v="338520"/>
    <x v="502"/>
    <d v="2013-12-01T00:00:00"/>
    <n v="12"/>
    <s v="December"/>
    <x v="1"/>
    <m/>
  </r>
  <r>
    <x v="0"/>
    <x v="0"/>
    <s v="Montana"/>
    <s v="High"/>
    <n v="2227.5"/>
    <n v="5"/>
    <n v="350"/>
    <n v="779625"/>
    <n v="109147.5"/>
    <x v="505"/>
    <n v="579150"/>
    <x v="503"/>
    <d v="2014-01-01T00:00:00"/>
    <n v="1"/>
    <s v="January"/>
    <x v="0"/>
    <m/>
  </r>
  <r>
    <x v="0"/>
    <x v="1"/>
    <s v="Montana"/>
    <s v="High"/>
    <n v="1199"/>
    <n v="5"/>
    <n v="350"/>
    <n v="419650"/>
    <n v="58751"/>
    <x v="506"/>
    <n v="311740"/>
    <x v="504"/>
    <d v="2014-04-01T00:00:00"/>
    <n v="4"/>
    <s v="April"/>
    <x v="0"/>
    <m/>
  </r>
  <r>
    <x v="0"/>
    <x v="0"/>
    <s v="Montana"/>
    <s v="High"/>
    <n v="200"/>
    <n v="5"/>
    <n v="350"/>
    <n v="70000"/>
    <n v="9800"/>
    <x v="507"/>
    <n v="52000"/>
    <x v="505"/>
    <d v="2014-05-01T00:00:00"/>
    <n v="5"/>
    <s v="May"/>
    <x v="0"/>
    <m/>
  </r>
  <r>
    <x v="0"/>
    <x v="0"/>
    <s v="Montana"/>
    <s v="High"/>
    <n v="388"/>
    <n v="5"/>
    <n v="7"/>
    <n v="2716"/>
    <n v="380.24"/>
    <x v="508"/>
    <n v="1940"/>
    <x v="506"/>
    <d v="2014-09-01T00:00:00"/>
    <n v="9"/>
    <s v="September"/>
    <x v="0"/>
    <m/>
  </r>
  <r>
    <x v="0"/>
    <x v="3"/>
    <s v="Montana"/>
    <s v="High"/>
    <n v="1727"/>
    <n v="5"/>
    <n v="7"/>
    <n v="12089"/>
    <n v="1692.46"/>
    <x v="509"/>
    <n v="8635"/>
    <x v="507"/>
    <d v="2013-10-01T00:00:00"/>
    <n v="10"/>
    <s v="October"/>
    <x v="1"/>
    <m/>
  </r>
  <r>
    <x v="1"/>
    <x v="0"/>
    <s v="Montana"/>
    <s v="High"/>
    <n v="2300"/>
    <n v="5"/>
    <n v="15"/>
    <n v="34500"/>
    <n v="4830"/>
    <x v="503"/>
    <n v="23000"/>
    <x v="501"/>
    <d v="2014-12-01T00:00:00"/>
    <n v="12"/>
    <s v="December"/>
    <x v="0"/>
    <m/>
  </r>
  <r>
    <x v="0"/>
    <x v="3"/>
    <s v="Paseo"/>
    <s v="High"/>
    <n v="260"/>
    <n v="10"/>
    <n v="20"/>
    <n v="5200"/>
    <n v="728"/>
    <x v="510"/>
    <n v="2600"/>
    <x v="508"/>
    <d v="2014-02-01T00:00:00"/>
    <n v="2"/>
    <s v="February"/>
    <x v="0"/>
    <m/>
  </r>
  <r>
    <x v="1"/>
    <x v="0"/>
    <s v="Paseo"/>
    <s v="High"/>
    <n v="2470"/>
    <n v="10"/>
    <n v="15"/>
    <n v="37050"/>
    <n v="5187"/>
    <x v="511"/>
    <n v="24700"/>
    <x v="509"/>
    <d v="2013-09-01T00:00:00"/>
    <n v="9"/>
    <s v="September"/>
    <x v="1"/>
    <m/>
  </r>
  <r>
    <x v="1"/>
    <x v="0"/>
    <s v="Paseo"/>
    <s v="High"/>
    <n v="1743"/>
    <n v="10"/>
    <n v="15"/>
    <n v="26145"/>
    <n v="3660.3"/>
    <x v="512"/>
    <n v="17430"/>
    <x v="510"/>
    <d v="2013-10-01T00:00:00"/>
    <n v="10"/>
    <s v="October"/>
    <x v="1"/>
    <m/>
  </r>
  <r>
    <x v="2"/>
    <x v="4"/>
    <s v="Paseo"/>
    <s v="High"/>
    <n v="2914"/>
    <n v="10"/>
    <n v="12"/>
    <n v="34968"/>
    <n v="4895.5200000000004"/>
    <x v="513"/>
    <n v="8742"/>
    <x v="511"/>
    <d v="2014-10-01T00:00:00"/>
    <n v="10"/>
    <s v="October"/>
    <x v="0"/>
    <m/>
  </r>
  <r>
    <x v="0"/>
    <x v="2"/>
    <s v="Paseo"/>
    <s v="High"/>
    <n v="1731"/>
    <n v="10"/>
    <n v="7"/>
    <n v="12117"/>
    <n v="1696.38"/>
    <x v="514"/>
    <n v="8655"/>
    <x v="512"/>
    <d v="2014-10-01T00:00:00"/>
    <n v="10"/>
    <s v="October"/>
    <x v="0"/>
    <m/>
  </r>
  <r>
    <x v="0"/>
    <x v="0"/>
    <s v="Paseo"/>
    <s v="High"/>
    <n v="700"/>
    <n v="10"/>
    <n v="350"/>
    <n v="245000"/>
    <n v="34300"/>
    <x v="515"/>
    <n v="182000"/>
    <x v="513"/>
    <d v="2014-11-01T00:00:00"/>
    <n v="11"/>
    <s v="November"/>
    <x v="0"/>
    <m/>
  </r>
  <r>
    <x v="2"/>
    <x v="0"/>
    <s v="Paseo"/>
    <s v="High"/>
    <n v="2222"/>
    <n v="10"/>
    <n v="12"/>
    <n v="26664"/>
    <n v="3732.96"/>
    <x v="516"/>
    <n v="6666"/>
    <x v="514"/>
    <d v="2013-11-01T00:00:00"/>
    <n v="11"/>
    <s v="November"/>
    <x v="1"/>
    <m/>
  </r>
  <r>
    <x v="0"/>
    <x v="4"/>
    <s v="Paseo"/>
    <s v="High"/>
    <n v="1177"/>
    <n v="10"/>
    <n v="350"/>
    <n v="411950"/>
    <n v="57673"/>
    <x v="517"/>
    <n v="306020"/>
    <x v="515"/>
    <d v="2014-11-01T00:00:00"/>
    <n v="11"/>
    <s v="November"/>
    <x v="0"/>
    <m/>
  </r>
  <r>
    <x v="0"/>
    <x v="2"/>
    <s v="Paseo"/>
    <s v="High"/>
    <n v="1922"/>
    <n v="10"/>
    <n v="350"/>
    <n v="672700"/>
    <n v="94178"/>
    <x v="518"/>
    <n v="499720"/>
    <x v="516"/>
    <d v="2013-11-01T00:00:00"/>
    <n v="11"/>
    <s v="November"/>
    <x v="1"/>
    <m/>
  </r>
  <r>
    <x v="3"/>
    <x v="3"/>
    <s v="Velo"/>
    <s v="High"/>
    <n v="1575"/>
    <n v="120"/>
    <n v="125"/>
    <n v="196875"/>
    <n v="27562.5"/>
    <x v="519"/>
    <n v="189000"/>
    <x v="517"/>
    <d v="2014-02-01T00:00:00"/>
    <n v="2"/>
    <s v="February"/>
    <x v="0"/>
    <m/>
  </r>
  <r>
    <x v="0"/>
    <x v="4"/>
    <s v="Velo"/>
    <s v="High"/>
    <n v="606"/>
    <n v="120"/>
    <n v="20"/>
    <n v="12120"/>
    <n v="1696.8000000000002"/>
    <x v="520"/>
    <n v="6060"/>
    <x v="518"/>
    <d v="2014-04-01T00:00:00"/>
    <n v="4"/>
    <s v="April"/>
    <x v="0"/>
    <m/>
  </r>
  <r>
    <x v="4"/>
    <x v="4"/>
    <s v="Velo"/>
    <s v="High"/>
    <n v="2460"/>
    <n v="120"/>
    <n v="300"/>
    <n v="738000"/>
    <n v="103320"/>
    <x v="521"/>
    <n v="615000"/>
    <x v="519"/>
    <d v="2014-07-01T00:00:00"/>
    <n v="7"/>
    <s v="July"/>
    <x v="0"/>
    <m/>
  </r>
  <r>
    <x v="4"/>
    <x v="0"/>
    <s v="Velo"/>
    <s v="High"/>
    <n v="269"/>
    <n v="120"/>
    <n v="300"/>
    <n v="80700"/>
    <n v="11298"/>
    <x v="522"/>
    <n v="67250"/>
    <x v="520"/>
    <d v="2013-10-01T00:00:00"/>
    <n v="10"/>
    <s v="October"/>
    <x v="1"/>
    <m/>
  </r>
  <r>
    <x v="4"/>
    <x v="1"/>
    <s v="Velo"/>
    <s v="High"/>
    <n v="2536"/>
    <n v="120"/>
    <n v="300"/>
    <n v="760800"/>
    <n v="106512"/>
    <x v="523"/>
    <n v="634000"/>
    <x v="521"/>
    <d v="2013-11-01T00:00:00"/>
    <n v="11"/>
    <s v="November"/>
    <x v="1"/>
    <m/>
  </r>
  <r>
    <x v="0"/>
    <x v="3"/>
    <s v="VTT"/>
    <s v="High"/>
    <n v="2903"/>
    <n v="250"/>
    <n v="7"/>
    <n v="20321"/>
    <n v="2844.94"/>
    <x v="524"/>
    <n v="14515"/>
    <x v="522"/>
    <d v="2014-03-01T00:00:00"/>
    <n v="3"/>
    <s v="March"/>
    <x v="0"/>
    <m/>
  </r>
  <r>
    <x v="4"/>
    <x v="4"/>
    <s v="VTT"/>
    <s v="High"/>
    <n v="2541"/>
    <n v="250"/>
    <n v="300"/>
    <n v="762300"/>
    <n v="106722"/>
    <x v="525"/>
    <n v="635250"/>
    <x v="523"/>
    <d v="2014-08-01T00:00:00"/>
    <n v="8"/>
    <s v="August"/>
    <x v="0"/>
    <m/>
  </r>
  <r>
    <x v="4"/>
    <x v="0"/>
    <s v="VTT"/>
    <s v="High"/>
    <n v="269"/>
    <n v="250"/>
    <n v="300"/>
    <n v="80700"/>
    <n v="11298"/>
    <x v="522"/>
    <n v="67250"/>
    <x v="520"/>
    <d v="2013-10-01T00:00:00"/>
    <n v="10"/>
    <s v="October"/>
    <x v="1"/>
    <m/>
  </r>
  <r>
    <x v="4"/>
    <x v="0"/>
    <s v="VTT"/>
    <s v="High"/>
    <n v="1496"/>
    <n v="250"/>
    <n v="300"/>
    <n v="448800"/>
    <n v="62832"/>
    <x v="500"/>
    <n v="374000"/>
    <x v="498"/>
    <d v="2014-10-01T00:00:00"/>
    <n v="10"/>
    <s v="October"/>
    <x v="0"/>
    <m/>
  </r>
  <r>
    <x v="4"/>
    <x v="4"/>
    <s v="VTT"/>
    <s v="High"/>
    <n v="1010"/>
    <n v="250"/>
    <n v="300"/>
    <n v="303000"/>
    <n v="42420"/>
    <x v="501"/>
    <n v="252500"/>
    <x v="499"/>
    <d v="2014-10-01T00:00:00"/>
    <n v="10"/>
    <s v="October"/>
    <x v="0"/>
    <m/>
  </r>
  <r>
    <x v="0"/>
    <x v="2"/>
    <s v="VTT"/>
    <s v="High"/>
    <n v="1281"/>
    <n v="250"/>
    <n v="350"/>
    <n v="448350"/>
    <n v="62769"/>
    <x v="526"/>
    <n v="333060"/>
    <x v="524"/>
    <d v="2013-12-01T00:00:00"/>
    <n v="12"/>
    <s v="December"/>
    <x v="1"/>
    <m/>
  </r>
  <r>
    <x v="4"/>
    <x v="0"/>
    <s v="Amarilla"/>
    <s v="High"/>
    <n v="888"/>
    <n v="260"/>
    <n v="300"/>
    <n v="266400"/>
    <n v="37296"/>
    <x v="527"/>
    <n v="222000"/>
    <x v="525"/>
    <d v="2014-03-01T00:00:00"/>
    <n v="3"/>
    <s v="March"/>
    <x v="0"/>
    <m/>
  </r>
  <r>
    <x v="3"/>
    <x v="4"/>
    <s v="Amarilla"/>
    <s v="High"/>
    <n v="2844"/>
    <n v="260"/>
    <n v="125"/>
    <n v="355500"/>
    <n v="49770"/>
    <x v="528"/>
    <n v="341280"/>
    <x v="526"/>
    <d v="2014-05-01T00:00:00"/>
    <n v="5"/>
    <s v="May"/>
    <x v="0"/>
    <m/>
  </r>
  <r>
    <x v="2"/>
    <x v="2"/>
    <s v="Amarilla"/>
    <s v="High"/>
    <n v="2475"/>
    <n v="260"/>
    <n v="12"/>
    <n v="29700"/>
    <n v="4158"/>
    <x v="529"/>
    <n v="7425"/>
    <x v="527"/>
    <d v="2014-08-01T00:00:00"/>
    <n v="8"/>
    <s v="August"/>
    <x v="0"/>
    <m/>
  </r>
  <r>
    <x v="1"/>
    <x v="0"/>
    <s v="Amarilla"/>
    <s v="High"/>
    <n v="1743"/>
    <n v="260"/>
    <n v="15"/>
    <n v="26145"/>
    <n v="3660.3"/>
    <x v="512"/>
    <n v="17430"/>
    <x v="510"/>
    <d v="2013-10-01T00:00:00"/>
    <n v="10"/>
    <s v="October"/>
    <x v="1"/>
    <m/>
  </r>
  <r>
    <x v="2"/>
    <x v="4"/>
    <s v="Amarilla"/>
    <s v="High"/>
    <n v="2914"/>
    <n v="260"/>
    <n v="12"/>
    <n v="34968"/>
    <n v="4895.5200000000004"/>
    <x v="513"/>
    <n v="8742"/>
    <x v="511"/>
    <d v="2014-10-01T00:00:00"/>
    <n v="10"/>
    <s v="October"/>
    <x v="0"/>
    <m/>
  </r>
  <r>
    <x v="0"/>
    <x v="2"/>
    <s v="Amarilla"/>
    <s v="High"/>
    <n v="1731"/>
    <n v="260"/>
    <n v="7"/>
    <n v="12117"/>
    <n v="1696.38"/>
    <x v="514"/>
    <n v="8655"/>
    <x v="512"/>
    <d v="2014-10-01T00:00:00"/>
    <n v="10"/>
    <s v="October"/>
    <x v="0"/>
    <m/>
  </r>
  <r>
    <x v="0"/>
    <x v="3"/>
    <s v="Amarilla"/>
    <s v="High"/>
    <n v="1727"/>
    <n v="260"/>
    <n v="7"/>
    <n v="12089"/>
    <n v="1692.46"/>
    <x v="509"/>
    <n v="8635"/>
    <x v="507"/>
    <d v="2013-10-01T00:00:00"/>
    <n v="10"/>
    <s v="October"/>
    <x v="1"/>
    <m/>
  </r>
  <r>
    <x v="1"/>
    <x v="3"/>
    <s v="Amarilla"/>
    <s v="High"/>
    <n v="1870"/>
    <n v="260"/>
    <n v="15"/>
    <n v="28050"/>
    <n v="3927"/>
    <x v="530"/>
    <n v="18700"/>
    <x v="528"/>
    <d v="2013-11-01T00:00:00"/>
    <n v="11"/>
    <s v="November"/>
    <x v="1"/>
    <m/>
  </r>
  <r>
    <x v="3"/>
    <x v="2"/>
    <s v="Carretera"/>
    <s v="High"/>
    <n v="1174"/>
    <n v="3"/>
    <n v="125"/>
    <n v="146750"/>
    <n v="22012.5"/>
    <x v="531"/>
    <n v="140880"/>
    <x v="529"/>
    <d v="2014-08-01T00:00:00"/>
    <n v="8"/>
    <s v="August"/>
    <x v="0"/>
    <m/>
  </r>
  <r>
    <x v="3"/>
    <x v="1"/>
    <s v="Carretera"/>
    <s v="High"/>
    <n v="2767"/>
    <n v="3"/>
    <n v="125"/>
    <n v="345875"/>
    <n v="51881.25"/>
    <x v="532"/>
    <n v="332040"/>
    <x v="530"/>
    <d v="2014-08-01T00:00:00"/>
    <n v="8"/>
    <s v="August"/>
    <x v="0"/>
    <m/>
  </r>
  <r>
    <x v="3"/>
    <x v="1"/>
    <s v="Carretera"/>
    <s v="High"/>
    <n v="1085"/>
    <n v="3"/>
    <n v="125"/>
    <n v="135625"/>
    <n v="20343.75"/>
    <x v="533"/>
    <n v="130200"/>
    <x v="531"/>
    <d v="2014-10-01T00:00:00"/>
    <n v="10"/>
    <s v="October"/>
    <x v="0"/>
    <m/>
  </r>
  <r>
    <x v="4"/>
    <x v="3"/>
    <s v="Montana"/>
    <s v="High"/>
    <n v="546"/>
    <n v="5"/>
    <n v="300"/>
    <n v="163800"/>
    <n v="24570"/>
    <x v="534"/>
    <n v="136500"/>
    <x v="532"/>
    <d v="2014-10-01T00:00:00"/>
    <n v="10"/>
    <s v="October"/>
    <x v="0"/>
    <m/>
  </r>
  <r>
    <x v="0"/>
    <x v="1"/>
    <s v="Paseo"/>
    <s v="High"/>
    <n v="1158"/>
    <n v="10"/>
    <n v="20"/>
    <n v="23160"/>
    <n v="3474"/>
    <x v="535"/>
    <n v="11580"/>
    <x v="533"/>
    <d v="2014-03-01T00:00:00"/>
    <n v="3"/>
    <s v="March"/>
    <x v="0"/>
    <m/>
  </r>
  <r>
    <x v="1"/>
    <x v="0"/>
    <s v="Paseo"/>
    <s v="High"/>
    <n v="1614"/>
    <n v="10"/>
    <n v="15"/>
    <n v="24210"/>
    <n v="3631.5"/>
    <x v="536"/>
    <n v="16140"/>
    <x v="534"/>
    <d v="2014-04-01T00:00:00"/>
    <n v="4"/>
    <s v="April"/>
    <x v="0"/>
    <m/>
  </r>
  <r>
    <x v="0"/>
    <x v="3"/>
    <s v="Paseo"/>
    <s v="High"/>
    <n v="2535"/>
    <n v="10"/>
    <n v="7"/>
    <n v="17745"/>
    <n v="2661.75"/>
    <x v="537"/>
    <n v="12675"/>
    <x v="535"/>
    <d v="2014-04-01T00:00:00"/>
    <n v="4"/>
    <s v="April"/>
    <x v="0"/>
    <m/>
  </r>
  <r>
    <x v="0"/>
    <x v="3"/>
    <s v="Paseo"/>
    <s v="High"/>
    <n v="2851"/>
    <n v="10"/>
    <n v="350"/>
    <n v="997850"/>
    <n v="149677.5"/>
    <x v="538"/>
    <n v="741260"/>
    <x v="536"/>
    <d v="2014-05-01T00:00:00"/>
    <n v="5"/>
    <s v="May"/>
    <x v="0"/>
    <m/>
  </r>
  <r>
    <x v="1"/>
    <x v="0"/>
    <s v="Paseo"/>
    <s v="High"/>
    <n v="2559"/>
    <n v="10"/>
    <n v="15"/>
    <n v="38385"/>
    <n v="5757.75"/>
    <x v="539"/>
    <n v="25590"/>
    <x v="537"/>
    <d v="2014-08-01T00:00:00"/>
    <n v="8"/>
    <s v="August"/>
    <x v="0"/>
    <m/>
  </r>
  <r>
    <x v="0"/>
    <x v="4"/>
    <s v="Paseo"/>
    <s v="High"/>
    <n v="267"/>
    <n v="10"/>
    <n v="20"/>
    <n v="5340"/>
    <n v="801"/>
    <x v="540"/>
    <n v="2670"/>
    <x v="538"/>
    <d v="2013-10-01T00:00:00"/>
    <n v="10"/>
    <s v="October"/>
    <x v="1"/>
    <m/>
  </r>
  <r>
    <x v="3"/>
    <x v="1"/>
    <s v="Paseo"/>
    <s v="High"/>
    <n v="1085"/>
    <n v="10"/>
    <n v="125"/>
    <n v="135625"/>
    <n v="20343.75"/>
    <x v="533"/>
    <n v="130200"/>
    <x v="531"/>
    <d v="2014-10-01T00:00:00"/>
    <n v="10"/>
    <s v="October"/>
    <x v="0"/>
    <m/>
  </r>
  <r>
    <x v="1"/>
    <x v="1"/>
    <s v="Paseo"/>
    <s v="High"/>
    <n v="1175"/>
    <n v="10"/>
    <n v="15"/>
    <n v="17625"/>
    <n v="2643.75"/>
    <x v="541"/>
    <n v="11750"/>
    <x v="539"/>
    <d v="2014-10-01T00:00:00"/>
    <n v="10"/>
    <s v="October"/>
    <x v="0"/>
    <m/>
  </r>
  <r>
    <x v="0"/>
    <x v="4"/>
    <s v="Paseo"/>
    <s v="High"/>
    <n v="2007"/>
    <n v="10"/>
    <n v="350"/>
    <n v="702450"/>
    <n v="105367.5"/>
    <x v="542"/>
    <n v="521820"/>
    <x v="540"/>
    <d v="2013-11-01T00:00:00"/>
    <n v="11"/>
    <s v="November"/>
    <x v="1"/>
    <m/>
  </r>
  <r>
    <x v="0"/>
    <x v="3"/>
    <s v="Paseo"/>
    <s v="High"/>
    <n v="2151"/>
    <n v="10"/>
    <n v="350"/>
    <n v="752850"/>
    <n v="112927.5"/>
    <x v="543"/>
    <n v="559260"/>
    <x v="541"/>
    <d v="2013-11-01T00:00:00"/>
    <n v="11"/>
    <s v="November"/>
    <x v="1"/>
    <m/>
  </r>
  <r>
    <x v="2"/>
    <x v="4"/>
    <s v="Paseo"/>
    <s v="High"/>
    <n v="914"/>
    <n v="10"/>
    <n v="12"/>
    <n v="10968"/>
    <n v="1645.2"/>
    <x v="544"/>
    <n v="2742"/>
    <x v="542"/>
    <d v="2014-12-01T00:00:00"/>
    <n v="12"/>
    <s v="December"/>
    <x v="0"/>
    <m/>
  </r>
  <r>
    <x v="0"/>
    <x v="2"/>
    <s v="Paseo"/>
    <s v="High"/>
    <n v="293"/>
    <n v="10"/>
    <n v="20"/>
    <n v="5860"/>
    <n v="879"/>
    <x v="545"/>
    <n v="2930"/>
    <x v="543"/>
    <d v="2014-12-01T00:00:00"/>
    <n v="12"/>
    <s v="December"/>
    <x v="0"/>
    <m/>
  </r>
  <r>
    <x v="2"/>
    <x v="3"/>
    <s v="Velo"/>
    <s v="High"/>
    <n v="500"/>
    <n v="120"/>
    <n v="12"/>
    <n v="6000"/>
    <n v="900"/>
    <x v="546"/>
    <n v="1500"/>
    <x v="544"/>
    <d v="2014-03-01T00:00:00"/>
    <n v="3"/>
    <s v="March"/>
    <x v="0"/>
    <m/>
  </r>
  <r>
    <x v="1"/>
    <x v="2"/>
    <s v="Velo"/>
    <s v="High"/>
    <n v="2826"/>
    <n v="120"/>
    <n v="15"/>
    <n v="42390"/>
    <n v="6358.5"/>
    <x v="547"/>
    <n v="28260"/>
    <x v="545"/>
    <d v="2014-05-01T00:00:00"/>
    <n v="5"/>
    <s v="May"/>
    <x v="0"/>
    <m/>
  </r>
  <r>
    <x v="3"/>
    <x v="2"/>
    <s v="Velo"/>
    <s v="High"/>
    <n v="663"/>
    <n v="120"/>
    <n v="125"/>
    <n v="82875"/>
    <n v="12431.25"/>
    <x v="548"/>
    <n v="79560"/>
    <x v="546"/>
    <d v="2014-09-01T00:00:00"/>
    <n v="9"/>
    <s v="September"/>
    <x v="0"/>
    <m/>
  </r>
  <r>
    <x v="4"/>
    <x v="4"/>
    <s v="Velo"/>
    <s v="High"/>
    <n v="2574"/>
    <n v="120"/>
    <n v="300"/>
    <n v="772200"/>
    <n v="115830"/>
    <x v="549"/>
    <n v="643500"/>
    <x v="547"/>
    <d v="2013-11-01T00:00:00"/>
    <n v="11"/>
    <s v="November"/>
    <x v="1"/>
    <m/>
  </r>
  <r>
    <x v="3"/>
    <x v="4"/>
    <s v="Velo"/>
    <s v="High"/>
    <n v="2438"/>
    <n v="120"/>
    <n v="125"/>
    <n v="304750"/>
    <n v="45712.5"/>
    <x v="550"/>
    <n v="292560"/>
    <x v="548"/>
    <d v="2013-12-01T00:00:00"/>
    <n v="12"/>
    <s v="December"/>
    <x v="1"/>
    <m/>
  </r>
  <r>
    <x v="2"/>
    <x v="4"/>
    <s v="Velo"/>
    <s v="High"/>
    <n v="914"/>
    <n v="120"/>
    <n v="12"/>
    <n v="10968"/>
    <n v="1645.2"/>
    <x v="544"/>
    <n v="2742"/>
    <x v="542"/>
    <d v="2014-12-01T00:00:00"/>
    <n v="12"/>
    <s v="December"/>
    <x v="0"/>
    <m/>
  </r>
  <r>
    <x v="0"/>
    <x v="0"/>
    <s v="VTT"/>
    <s v="High"/>
    <n v="865.5"/>
    <n v="250"/>
    <n v="20"/>
    <n v="17310"/>
    <n v="2596.5"/>
    <x v="551"/>
    <n v="8655"/>
    <x v="549"/>
    <d v="2014-07-01T00:00:00"/>
    <n v="7"/>
    <s v="July"/>
    <x v="0"/>
    <m/>
  </r>
  <r>
    <x v="1"/>
    <x v="1"/>
    <s v="VTT"/>
    <s v="High"/>
    <n v="492"/>
    <n v="250"/>
    <n v="15"/>
    <n v="7380"/>
    <n v="1107"/>
    <x v="552"/>
    <n v="4920"/>
    <x v="550"/>
    <d v="2014-07-01T00:00:00"/>
    <n v="7"/>
    <s v="July"/>
    <x v="0"/>
    <m/>
  </r>
  <r>
    <x v="0"/>
    <x v="4"/>
    <s v="VTT"/>
    <s v="High"/>
    <n v="267"/>
    <n v="250"/>
    <n v="20"/>
    <n v="5340"/>
    <n v="801"/>
    <x v="540"/>
    <n v="2670"/>
    <x v="538"/>
    <d v="2013-10-01T00:00:00"/>
    <n v="10"/>
    <s v="October"/>
    <x v="1"/>
    <m/>
  </r>
  <r>
    <x v="1"/>
    <x v="1"/>
    <s v="VTT"/>
    <s v="High"/>
    <n v="1175"/>
    <n v="250"/>
    <n v="15"/>
    <n v="17625"/>
    <n v="2643.75"/>
    <x v="541"/>
    <n v="11750"/>
    <x v="539"/>
    <d v="2014-10-01T00:00:00"/>
    <n v="10"/>
    <s v="October"/>
    <x v="0"/>
    <m/>
  </r>
  <r>
    <x v="3"/>
    <x v="0"/>
    <s v="VTT"/>
    <s v="High"/>
    <n v="2954"/>
    <n v="250"/>
    <n v="125"/>
    <n v="369250"/>
    <n v="55387.5"/>
    <x v="553"/>
    <n v="354480"/>
    <x v="551"/>
    <d v="2013-11-01T00:00:00"/>
    <n v="11"/>
    <s v="November"/>
    <x v="1"/>
    <m/>
  </r>
  <r>
    <x v="3"/>
    <x v="1"/>
    <s v="VTT"/>
    <s v="High"/>
    <n v="552"/>
    <n v="250"/>
    <n v="125"/>
    <n v="69000"/>
    <n v="10350"/>
    <x v="554"/>
    <n v="66240"/>
    <x v="552"/>
    <d v="2014-11-01T00:00:00"/>
    <n v="11"/>
    <s v="November"/>
    <x v="0"/>
    <m/>
  </r>
  <r>
    <x v="0"/>
    <x v="2"/>
    <s v="VTT"/>
    <s v="High"/>
    <n v="293"/>
    <n v="250"/>
    <n v="20"/>
    <n v="5860"/>
    <n v="879"/>
    <x v="545"/>
    <n v="2930"/>
    <x v="543"/>
    <d v="2014-12-01T00:00:00"/>
    <n v="12"/>
    <s v="December"/>
    <x v="0"/>
    <m/>
  </r>
  <r>
    <x v="4"/>
    <x v="2"/>
    <s v="Amarilla"/>
    <s v="High"/>
    <n v="2475"/>
    <n v="260"/>
    <n v="300"/>
    <n v="742500"/>
    <n v="111375"/>
    <x v="555"/>
    <n v="618750"/>
    <x v="553"/>
    <d v="2014-03-01T00:00:00"/>
    <n v="3"/>
    <s v="March"/>
    <x v="0"/>
    <m/>
  </r>
  <r>
    <x v="4"/>
    <x v="3"/>
    <s v="Amarilla"/>
    <s v="High"/>
    <n v="546"/>
    <n v="260"/>
    <n v="300"/>
    <n v="163800"/>
    <n v="24570"/>
    <x v="534"/>
    <n v="136500"/>
    <x v="532"/>
    <d v="2014-10-01T00:00:00"/>
    <n v="10"/>
    <s v="October"/>
    <x v="0"/>
    <m/>
  </r>
  <r>
    <x v="0"/>
    <x v="3"/>
    <s v="Montana"/>
    <s v="High"/>
    <n v="1368"/>
    <n v="5"/>
    <n v="7"/>
    <n v="9576"/>
    <n v="1436.4"/>
    <x v="556"/>
    <n v="6840"/>
    <x v="554"/>
    <d v="2014-02-01T00:00:00"/>
    <n v="2"/>
    <s v="February"/>
    <x v="0"/>
    <m/>
  </r>
  <r>
    <x v="0"/>
    <x v="0"/>
    <s v="Paseo"/>
    <s v="High"/>
    <n v="723"/>
    <n v="10"/>
    <n v="7"/>
    <n v="5061"/>
    <n v="759.15000000000009"/>
    <x v="557"/>
    <n v="3615"/>
    <x v="555"/>
    <d v="2014-04-01T00:00:00"/>
    <n v="4"/>
    <s v="April"/>
    <x v="0"/>
    <m/>
  </r>
  <r>
    <x v="2"/>
    <x v="4"/>
    <s v="VTT"/>
    <s v="High"/>
    <n v="1806"/>
    <n v="250"/>
    <n v="12"/>
    <n v="21672"/>
    <n v="3250.8"/>
    <x v="558"/>
    <n v="5418"/>
    <x v="556"/>
    <d v="2014-05-01T00:00:00"/>
    <n v="5"/>
    <s v="May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A5401-E1CC-4466-AEA4-9D2522CD031B}" name="Tabela dinâmica1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Ano">
  <location ref="G23:I26" firstHeaderRow="0" firstDataRow="1" firstDataCol="1"/>
  <pivotFields count="17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9" baseField="15" baseItem="0"/>
    <dataField name="Lucro" fld="11" baseField="15" baseItem="0"/>
  </dataFields>
  <formats count="30">
    <format dxfId="147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1"/>
          </reference>
          <reference field="15" count="1">
            <x v="0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0"/>
          </reference>
          <reference field="15" count="1">
            <x v="0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0"/>
          </reference>
          <reference field="15" count="1">
            <x v="1"/>
          </reference>
        </references>
      </pivotArea>
    </format>
    <format dxfId="143">
      <pivotArea dataOnly="0" labelOnly="1" fieldPosition="0">
        <references count="1">
          <reference field="15" count="1">
            <x v="1"/>
          </reference>
        </references>
      </pivotArea>
    </format>
    <format dxfId="142">
      <pivotArea dataOnly="0" labelOnly="1" fieldPosition="0">
        <references count="1">
          <reference field="15" count="1">
            <x v="0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1"/>
          </reference>
          <reference field="15" count="1">
            <x v="0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0"/>
          </reference>
          <reference field="15" count="1">
            <x v="0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15" count="1">
            <x v="1"/>
          </reference>
        </references>
      </pivotArea>
    </format>
    <format dxfId="102">
      <pivotArea field="1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00">
      <pivotArea field="1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9">
      <pivotArea field="15" type="button" dataOnly="0" labelOnly="1" outline="0" axis="axisRow" fieldPosition="0"/>
    </format>
    <format dxfId="98">
      <pivotArea dataOnly="0" labelOnly="1" fieldPosition="0">
        <references count="1">
          <reference field="15" count="1">
            <x v="0"/>
          </reference>
        </references>
      </pivotArea>
    </format>
    <format dxfId="97">
      <pivotArea dataOnly="0" labelOnly="1" fieldPosition="0">
        <references count="1">
          <reference field="15" count="1">
            <x v="1"/>
          </reference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1"/>
          </reference>
          <reference field="15" count="1">
            <x v="0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15" count="1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15" count="1">
            <x v="1"/>
          </reference>
        </references>
      </pivotArea>
    </format>
    <format dxfId="90">
      <pivotArea field="1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88">
      <pivotArea field="1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7">
      <pivotArea field="15" type="button" dataOnly="0" labelOnly="1" outline="0" axis="axisRow" fieldPosition="0"/>
    </format>
    <format dxfId="86">
      <pivotArea dataOnly="0" labelOnly="1" fieldPosition="0">
        <references count="1">
          <reference field="15" count="1">
            <x v="0"/>
          </reference>
        </references>
      </pivotArea>
    </format>
    <format dxfId="85">
      <pivotArea dataOnly="0" labelOnly="1" fieldPosition="0">
        <references count="1">
          <reference field="15" count="1">
            <x v="1"/>
          </reference>
        </references>
      </pivotArea>
    </format>
    <format dxfId="84">
      <pivotArea dataOnly="0" labelOnly="1" grandRow="1" outline="0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3200E-5F3A-4ADE-B789-4CA1D45813D5}" name="Tabela dinâmica10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Segmento">
  <location ref="L9:M15" firstHeaderRow="1" firstDataRow="1" firstDataCol="1"/>
  <pivotFields count="17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/>
    <pivotField numFmtI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aturamento" fld="9" baseField="0" baseItem="0"/>
  </dataFields>
  <formats count="27">
    <format dxfId="158">
      <pivotArea dataOnly="0" labelOnly="1" fieldPosition="0">
        <references count="1">
          <reference field="0" count="1">
            <x v="2"/>
          </reference>
        </references>
      </pivotArea>
    </format>
    <format dxfId="157">
      <pivotArea collapsedLevelsAreSubtotals="1" fieldPosition="0">
        <references count="1">
          <reference field="0" count="1">
            <x v="4"/>
          </reference>
        </references>
      </pivotArea>
    </format>
    <format dxfId="156">
      <pivotArea dataOnly="0" labelOnly="1" fieldPosition="0">
        <references count="1">
          <reference field="0" count="0"/>
        </references>
      </pivotArea>
    </format>
    <format dxfId="155">
      <pivotArea collapsedLevelsAreSubtotals="1" fieldPosition="0">
        <references count="1">
          <reference field="0" count="1">
            <x v="0"/>
          </reference>
        </references>
      </pivotArea>
    </format>
    <format dxfId="154">
      <pivotArea collapsedLevelsAreSubtotals="1" fieldPosition="0">
        <references count="1">
          <reference field="0" count="1">
            <x v="1"/>
          </reference>
        </references>
      </pivotArea>
    </format>
    <format dxfId="153">
      <pivotArea collapsedLevelsAreSubtotals="1" fieldPosition="0">
        <references count="1">
          <reference field="0" count="1">
            <x v="2"/>
          </reference>
        </references>
      </pivotArea>
    </format>
    <format dxfId="152">
      <pivotArea collapsedLevelsAreSubtotals="1" fieldPosition="0">
        <references count="1">
          <reference field="0" count="1">
            <x v="3"/>
          </reference>
        </references>
      </pivotArea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  <format dxfId="149">
      <pivotArea field="0" type="button" dataOnly="0" labelOnly="1" outline="0" axis="axisRow" fieldPosition="0"/>
    </format>
    <format dxfId="148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1">
      <pivotArea collapsedLevelsAreSubtotals="1" fieldPosition="0">
        <references count="1">
          <reference field="0" count="1">
            <x v="0"/>
          </reference>
        </references>
      </pivotArea>
    </format>
    <format dxfId="120">
      <pivotArea collapsedLevelsAreSubtotals="1" fieldPosition="0">
        <references count="1">
          <reference field="0" count="1">
            <x v="1"/>
          </reference>
        </references>
      </pivotArea>
    </format>
    <format dxfId="119">
      <pivotArea collapsedLevelsAreSubtotals="1" fieldPosition="0">
        <references count="1">
          <reference field="0" count="1">
            <x v="2"/>
          </reference>
        </references>
      </pivotArea>
    </format>
    <format dxfId="118">
      <pivotArea collapsedLevelsAreSubtotals="1" fieldPosition="0">
        <references count="1">
          <reference field="0" count="1">
            <x v="3"/>
          </reference>
        </references>
      </pivotArea>
    </format>
    <format dxfId="117">
      <pivotArea collapsedLevelsAreSubtotals="1" fieldPosition="0">
        <references count="1">
          <reference field="0" count="1">
            <x v="4"/>
          </reference>
        </references>
      </pivotArea>
    </format>
    <format dxfId="116">
      <pivotArea dataOnly="0" labelOnly="1" grandRow="1" outline="0" fieldPosition="0"/>
    </format>
    <format dxfId="115">
      <pivotArea collapsedLevelsAreSubtotals="1" fieldPosition="0">
        <references count="1">
          <reference field="0" count="1">
            <x v="0"/>
          </reference>
        </references>
      </pivotArea>
    </format>
    <format dxfId="114">
      <pivotArea collapsedLevelsAreSubtotals="1" fieldPosition="0">
        <references count="1">
          <reference field="0" count="1">
            <x v="1"/>
          </reference>
        </references>
      </pivotArea>
    </format>
    <format dxfId="113">
      <pivotArea collapsedLevelsAreSubtotals="1" fieldPosition="0">
        <references count="1">
          <reference field="0" count="1">
            <x v="2"/>
          </reference>
        </references>
      </pivotArea>
    </format>
    <format dxfId="112">
      <pivotArea collapsedLevelsAreSubtotals="1" fieldPosition="0">
        <references count="1">
          <reference field="0" count="1">
            <x v="3"/>
          </reference>
        </references>
      </pivotArea>
    </format>
    <format dxfId="111">
      <pivotArea collapsedLevelsAreSubtotals="1" fieldPosition="0">
        <references count="1">
          <reference field="0" count="1">
            <x v="4"/>
          </reference>
        </references>
      </pivotArea>
    </format>
    <format dxfId="110">
      <pivotArea dataOnly="0" labelOnly="1" grandRow="1" outline="0" fieldPosition="0"/>
    </format>
    <format dxfId="109">
      <pivotArea grandRow="1" outline="0" collapsedLevelsAreSubtotals="1" fieldPosition="0"/>
    </format>
    <format dxfId="108">
      <pivotArea grandRow="1"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882F8-2C0D-4968-82E4-BF7C361CED83}" name="Tabela dinâmica9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País">
  <location ref="G9:H15" firstHeaderRow="1" firstDataRow="1" firstDataCol="1"/>
  <pivotFields count="17">
    <pivotField showAll="0"/>
    <pivotField axis="axisRow" showAll="0">
      <items count="6">
        <item x="0"/>
        <item x="2"/>
        <item x="1"/>
        <item x="3"/>
        <item n="EUA"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ucro" fld="11" baseField="1" baseItem="0"/>
  </dataFields>
  <formats count="28">
    <format dxfId="168">
      <pivotArea dataOnly="0" labelOnly="1" fieldPosition="0">
        <references count="1">
          <reference field="1" count="0"/>
        </references>
      </pivotArea>
    </format>
    <format dxfId="167">
      <pivotArea collapsedLevelsAreSubtotals="1" fieldPosition="0">
        <references count="1">
          <reference field="1" count="1">
            <x v="3"/>
          </reference>
        </references>
      </pivotArea>
    </format>
    <format dxfId="166">
      <pivotArea collapsedLevelsAreSubtotals="1" fieldPosition="0">
        <references count="1">
          <reference field="1" count="1">
            <x v="0"/>
          </reference>
        </references>
      </pivotArea>
    </format>
    <format dxfId="165">
      <pivotArea collapsedLevelsAreSubtotals="1" fieldPosition="0">
        <references count="1">
          <reference field="1" count="1">
            <x v="1"/>
          </reference>
        </references>
      </pivotArea>
    </format>
    <format dxfId="164">
      <pivotArea collapsedLevelsAreSubtotals="1" fieldPosition="0">
        <references count="1">
          <reference field="1" count="1">
            <x v="2"/>
          </reference>
        </references>
      </pivotArea>
    </format>
    <format dxfId="163">
      <pivotArea collapsedLevelsAreSubtotals="1" fieldPosition="0">
        <references count="1">
          <reference field="1" count="1">
            <x v="4"/>
          </reference>
        </references>
      </pivotArea>
    </format>
    <format dxfId="162">
      <pivotArea dataOnly="0" labelOnly="1" outline="0" axis="axisValues" fieldPosition="0"/>
    </format>
    <format dxfId="161">
      <pivotArea dataOnly="0" labelOnly="1" outline="0" axis="axisValues" fieldPosition="0"/>
    </format>
    <format dxfId="160">
      <pivotArea field="1" type="button" dataOnly="0" labelOnly="1" outline="0" axis="axisRow" fieldPosition="0"/>
    </format>
    <format dxfId="159">
      <pivotArea field="1" type="button" dataOnly="0" labelOnly="1" outline="0" axis="axisRow" fieldPosition="0"/>
    </format>
    <format dxfId="141">
      <pivotArea dataOnly="0" fieldPosition="0">
        <references count="1">
          <reference field="1" count="2">
            <x v="0"/>
            <x v="1"/>
          </reference>
        </references>
      </pivotArea>
    </format>
    <format dxfId="140">
      <pivotArea dataOnly="0" fieldPosition="0">
        <references count="1">
          <reference field="1" count="2">
            <x v="0"/>
            <x v="1"/>
          </reference>
        </references>
      </pivotArea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6">
      <pivotArea dataOnly="0" labelOnly="1" grandRow="1" outline="0" fieldPosition="0"/>
    </format>
    <format dxfId="135">
      <pivotArea collapsedLevelsAreSubtotals="1" fieldPosition="0">
        <references count="1">
          <reference field="1" count="1">
            <x v="0"/>
          </reference>
        </references>
      </pivotArea>
    </format>
    <format dxfId="134">
      <pivotArea collapsedLevelsAreSubtotals="1" fieldPosition="0">
        <references count="1">
          <reference field="1" count="1">
            <x v="1"/>
          </reference>
        </references>
      </pivotArea>
    </format>
    <format dxfId="133">
      <pivotArea collapsedLevelsAreSubtotals="1" fieldPosition="0">
        <references count="1">
          <reference field="1" count="1">
            <x v="2"/>
          </reference>
        </references>
      </pivotArea>
    </format>
    <format dxfId="132">
      <pivotArea collapsedLevelsAreSubtotals="1" fieldPosition="0">
        <references count="1">
          <reference field="1" count="1">
            <x v="3"/>
          </reference>
        </references>
      </pivotArea>
    </format>
    <format dxfId="131">
      <pivotArea grandRow="1" outline="0" collapsedLevelsAreSubtotals="1" fieldPosition="0"/>
    </format>
    <format dxfId="130">
      <pivotArea collapsedLevelsAreSubtotals="1" fieldPosition="0">
        <references count="1">
          <reference field="1" count="1">
            <x v="4"/>
          </reference>
        </references>
      </pivotArea>
    </format>
    <format dxfId="129">
      <pivotArea collapsedLevelsAreSubtotals="1" fieldPosition="0">
        <references count="1">
          <reference field="1" count="1">
            <x v="0"/>
          </reference>
        </references>
      </pivotArea>
    </format>
    <format dxfId="128">
      <pivotArea collapsedLevelsAreSubtotals="1" fieldPosition="0">
        <references count="1">
          <reference field="1" count="1">
            <x v="1"/>
          </reference>
        </references>
      </pivotArea>
    </format>
    <format dxfId="127">
      <pivotArea collapsedLevelsAreSubtotals="1" fieldPosition="0">
        <references count="1">
          <reference field="1" count="1">
            <x v="2"/>
          </reference>
        </references>
      </pivotArea>
    </format>
    <format dxfId="126">
      <pivotArea collapsedLevelsAreSubtotals="1" fieldPosition="0">
        <references count="1">
          <reference field="1" count="1">
            <x v="3"/>
          </reference>
        </references>
      </pivotArea>
    </format>
    <format dxfId="125">
      <pivotArea grandRow="1" outline="0" collapsedLevelsAreSubtotals="1" fieldPosition="0"/>
    </format>
    <format dxfId="124">
      <pivotArea collapsedLevelsAreSubtotals="1" fieldPosition="0">
        <references count="1">
          <reference field="1" count="1">
            <x v="4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68790-A5F3-4129-9A17-6EA1171E8718}" name="Tabela dinâmica8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D10" firstHeaderRow="1" firstDataRow="1" firstDataCol="0"/>
  <pivotFields count="17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>
      <items count="558">
        <item x="551"/>
        <item x="530"/>
        <item x="526"/>
        <item x="502"/>
        <item x="548"/>
        <item x="422"/>
        <item x="360"/>
        <item x="428"/>
        <item x="450"/>
        <item x="429"/>
        <item x="401"/>
        <item x="517"/>
        <item x="382"/>
        <item x="484"/>
        <item x="473"/>
        <item x="322"/>
        <item x="529"/>
        <item x="531"/>
        <item x="376"/>
        <item x="363"/>
        <item x="334"/>
        <item x="256"/>
        <item x="497"/>
        <item x="424"/>
        <item x="373"/>
        <item x="320"/>
        <item x="361"/>
        <item x="254"/>
        <item x="546"/>
        <item x="425"/>
        <item x="266"/>
        <item x="280"/>
        <item x="552"/>
        <item x="223"/>
        <item x="273"/>
        <item x="289"/>
        <item x="342"/>
        <item x="230"/>
        <item x="420"/>
        <item x="178"/>
        <item x="384"/>
        <item x="183"/>
        <item x="275"/>
        <item x="333"/>
        <item x="184"/>
        <item x="378"/>
        <item x="222"/>
        <item x="215"/>
        <item x="191"/>
        <item x="199"/>
        <item x="192"/>
        <item x="144"/>
        <item x="489"/>
        <item x="490"/>
        <item x="279"/>
        <item x="506"/>
        <item x="214"/>
        <item x="426"/>
        <item x="352"/>
        <item x="73"/>
        <item x="555"/>
        <item x="70"/>
        <item x="277"/>
        <item x="349"/>
        <item x="491"/>
        <item x="246"/>
        <item x="330"/>
        <item x="175"/>
        <item x="149"/>
        <item x="118"/>
        <item x="294"/>
        <item x="347"/>
        <item x="443"/>
        <item x="44"/>
        <item x="50"/>
        <item x="393"/>
        <item x="480"/>
        <item x="554"/>
        <item x="550"/>
        <item x="464"/>
        <item x="243"/>
        <item x="78"/>
        <item x="468"/>
        <item x="291"/>
        <item x="120"/>
        <item x="91"/>
        <item x="173"/>
        <item x="245"/>
        <item x="13"/>
        <item x="457"/>
        <item x="507"/>
        <item x="512"/>
        <item x="19"/>
        <item x="370"/>
        <item x="290"/>
        <item x="79"/>
        <item x="281"/>
        <item x="538"/>
        <item x="508"/>
        <item x="162"/>
        <item x="368"/>
        <item x="395"/>
        <item x="124"/>
        <item x="43"/>
        <item x="481"/>
        <item x="92"/>
        <item x="543"/>
        <item x="237"/>
        <item x="121"/>
        <item x="520"/>
        <item x="431"/>
        <item x="416"/>
        <item x="321"/>
        <item x="218"/>
        <item x="123"/>
        <item x="418"/>
        <item x="379"/>
        <item x="163"/>
        <item x="23"/>
        <item x="295"/>
        <item x="197"/>
        <item x="225"/>
        <item x="369"/>
        <item x="247"/>
        <item x="535"/>
        <item x="357"/>
        <item x="61"/>
        <item x="126"/>
        <item x="45"/>
        <item x="288"/>
        <item x="64"/>
        <item x="532"/>
        <item x="20"/>
        <item x="371"/>
        <item x="167"/>
        <item x="300"/>
        <item x="433"/>
        <item x="315"/>
        <item x="15"/>
        <item x="475"/>
        <item x="65"/>
        <item x="152"/>
        <item x="522"/>
        <item x="28"/>
        <item x="358"/>
        <item x="359"/>
        <item x="482"/>
        <item x="488"/>
        <item x="14"/>
        <item x="392"/>
        <item x="133"/>
        <item x="434"/>
        <item x="263"/>
        <item x="539"/>
        <item x="462"/>
        <item x="18"/>
        <item x="403"/>
        <item x="303"/>
        <item x="39"/>
        <item x="71"/>
        <item x="375"/>
        <item x="296"/>
        <item x="116"/>
        <item x="195"/>
        <item x="59"/>
        <item x="344"/>
        <item x="544"/>
        <item x="67"/>
        <item x="394"/>
        <item x="313"/>
        <item x="98"/>
        <item x="186"/>
        <item x="164"/>
        <item x="452"/>
        <item x="82"/>
        <item x="72"/>
        <item x="176"/>
        <item x="87"/>
        <item x="302"/>
        <item x="474"/>
        <item x="12"/>
        <item x="518"/>
        <item x="500"/>
        <item x="165"/>
        <item x="534"/>
        <item x="3"/>
        <item x="327"/>
        <item x="465"/>
        <item x="6"/>
        <item x="211"/>
        <item x="235"/>
        <item x="476"/>
        <item x="301"/>
        <item x="16"/>
        <item x="48"/>
        <item x="139"/>
        <item x="244"/>
        <item x="510"/>
        <item x="269"/>
        <item x="493"/>
        <item x="103"/>
        <item x="402"/>
        <item x="265"/>
        <item x="111"/>
        <item x="93"/>
        <item x="285"/>
        <item x="528"/>
        <item x="346"/>
        <item x="108"/>
        <item x="238"/>
        <item x="284"/>
        <item x="356"/>
        <item x="86"/>
        <item x="549"/>
        <item x="224"/>
        <item x="496"/>
        <item x="76"/>
        <item x="542"/>
        <item x="413"/>
        <item x="153"/>
        <item x="501"/>
        <item x="138"/>
        <item x="52"/>
        <item x="96"/>
        <item x="66"/>
        <item x="438"/>
        <item x="339"/>
        <item x="537"/>
        <item x="525"/>
        <item x="234"/>
        <item x="509"/>
        <item x="406"/>
        <item x="364"/>
        <item x="145"/>
        <item x="62"/>
        <item x="157"/>
        <item x="318"/>
        <item x="478"/>
        <item x="367"/>
        <item x="41"/>
        <item x="323"/>
        <item x="396"/>
        <item x="545"/>
        <item x="132"/>
        <item x="459"/>
        <item x="115"/>
        <item x="350"/>
        <item x="499"/>
        <item x="533"/>
        <item x="453"/>
        <item x="505"/>
        <item x="25"/>
        <item x="257"/>
        <item x="213"/>
        <item x="351"/>
        <item x="430"/>
        <item x="381"/>
        <item x="142"/>
        <item x="63"/>
        <item x="408"/>
        <item x="236"/>
        <item x="127"/>
        <item x="469"/>
        <item x="136"/>
        <item x="196"/>
        <item x="233"/>
        <item x="29"/>
        <item x="110"/>
        <item x="97"/>
        <item x="391"/>
        <item x="99"/>
        <item x="467"/>
        <item x="202"/>
        <item x="444"/>
        <item x="170"/>
        <item x="81"/>
        <item x="168"/>
        <item x="100"/>
        <item x="283"/>
        <item x="354"/>
        <item x="276"/>
        <item x="151"/>
        <item x="209"/>
        <item x="228"/>
        <item x="137"/>
        <item x="84"/>
        <item x="304"/>
        <item x="494"/>
        <item x="397"/>
        <item x="56"/>
        <item x="26"/>
        <item x="278"/>
        <item x="2"/>
        <item x="312"/>
        <item x="88"/>
        <item x="188"/>
        <item x="42"/>
        <item x="80"/>
        <item x="204"/>
        <item x="106"/>
        <item x="292"/>
        <item x="258"/>
        <item x="456"/>
        <item x="210"/>
        <item x="182"/>
        <item x="366"/>
        <item x="125"/>
        <item x="174"/>
        <item x="109"/>
        <item x="498"/>
        <item x="198"/>
        <item x="479"/>
        <item x="267"/>
        <item x="4"/>
        <item x="22"/>
        <item x="553"/>
        <item x="448"/>
        <item x="154"/>
        <item x="190"/>
        <item x="348"/>
        <item x="487"/>
        <item x="311"/>
        <item x="49"/>
        <item x="547"/>
        <item x="451"/>
        <item x="251"/>
        <item x="556"/>
        <item x="435"/>
        <item x="485"/>
        <item x="259"/>
        <item x="1"/>
        <item x="419"/>
        <item x="10"/>
        <item x="326"/>
        <item x="58"/>
        <item x="345"/>
        <item x="9"/>
        <item x="329"/>
        <item x="171"/>
        <item x="31"/>
        <item x="248"/>
        <item x="201"/>
        <item x="495"/>
        <item x="407"/>
        <item x="398"/>
        <item x="85"/>
        <item x="239"/>
        <item x="232"/>
        <item x="336"/>
        <item x="353"/>
        <item x="208"/>
        <item x="365"/>
        <item x="94"/>
        <item x="169"/>
        <item x="240"/>
        <item x="477"/>
        <item x="447"/>
        <item x="0"/>
        <item x="193"/>
        <item x="297"/>
        <item x="514"/>
        <item x="388"/>
        <item x="117"/>
        <item x="46"/>
        <item x="305"/>
        <item x="129"/>
        <item x="436"/>
        <item x="466"/>
        <item x="114"/>
        <item x="253"/>
        <item x="377"/>
        <item x="492"/>
        <item x="37"/>
        <item x="77"/>
        <item x="341"/>
        <item x="417"/>
        <item x="249"/>
        <item x="527"/>
        <item x="27"/>
        <item x="319"/>
        <item x="486"/>
        <item x="411"/>
        <item x="412"/>
        <item x="8"/>
        <item x="440"/>
        <item x="212"/>
        <item x="150"/>
        <item x="241"/>
        <item x="242"/>
        <item x="454"/>
        <item x="40"/>
        <item x="30"/>
        <item x="470"/>
        <item x="180"/>
        <item x="519"/>
        <item x="471"/>
        <item x="389"/>
        <item x="455"/>
        <item x="521"/>
        <item x="523"/>
        <item x="166"/>
        <item x="423"/>
        <item x="205"/>
        <item x="141"/>
        <item x="458"/>
        <item x="310"/>
        <item x="38"/>
        <item x="511"/>
        <item x="135"/>
        <item x="415"/>
        <item x="355"/>
        <item x="104"/>
        <item x="262"/>
        <item x="219"/>
        <item x="7"/>
        <item x="421"/>
        <item x="53"/>
        <item x="414"/>
        <item x="405"/>
        <item x="307"/>
        <item x="51"/>
        <item x="194"/>
        <item x="112"/>
        <item x="155"/>
        <item x="432"/>
        <item x="298"/>
        <item x="314"/>
        <item x="200"/>
        <item x="33"/>
        <item x="308"/>
        <item x="270"/>
        <item x="158"/>
        <item x="387"/>
        <item x="271"/>
        <item x="113"/>
        <item x="483"/>
        <item x="513"/>
        <item x="449"/>
        <item x="441"/>
        <item x="328"/>
        <item x="410"/>
        <item x="260"/>
        <item x="287"/>
        <item x="172"/>
        <item x="372"/>
        <item x="306"/>
        <item x="134"/>
        <item x="69"/>
        <item x="181"/>
        <item x="390"/>
        <item x="226"/>
        <item x="21"/>
        <item x="404"/>
        <item x="268"/>
        <item x="207"/>
        <item x="89"/>
        <item x="286"/>
        <item x="261"/>
        <item x="399"/>
        <item x="460"/>
        <item x="427"/>
        <item x="340"/>
        <item x="187"/>
        <item x="463"/>
        <item x="203"/>
        <item x="374"/>
        <item x="75"/>
        <item x="446"/>
        <item x="400"/>
        <item x="11"/>
        <item x="264"/>
        <item x="515"/>
        <item x="107"/>
        <item x="437"/>
        <item x="504"/>
        <item x="255"/>
        <item x="221"/>
        <item x="179"/>
        <item x="524"/>
        <item x="146"/>
        <item x="309"/>
        <item x="185"/>
        <item x="442"/>
        <item x="324"/>
        <item x="386"/>
        <item x="337"/>
        <item x="252"/>
        <item x="293"/>
        <item x="445"/>
        <item x="216"/>
        <item x="143"/>
        <item x="335"/>
        <item x="540"/>
        <item x="90"/>
        <item x="332"/>
        <item x="439"/>
        <item x="140"/>
        <item x="130"/>
        <item x="229"/>
        <item x="516"/>
        <item x="338"/>
        <item x="461"/>
        <item x="272"/>
        <item x="541"/>
        <item x="74"/>
        <item x="95"/>
        <item x="282"/>
        <item x="331"/>
        <item x="316"/>
        <item x="189"/>
        <item x="17"/>
        <item x="503"/>
        <item x="317"/>
        <item x="206"/>
        <item x="122"/>
        <item x="32"/>
        <item x="177"/>
        <item x="217"/>
        <item x="383"/>
        <item x="220"/>
        <item x="47"/>
        <item x="536"/>
        <item x="35"/>
        <item x="57"/>
        <item x="409"/>
        <item x="147"/>
        <item x="250"/>
        <item x="231"/>
        <item x="128"/>
        <item x="472"/>
        <item x="60"/>
        <item x="54"/>
        <item x="343"/>
        <item x="385"/>
        <item x="362"/>
        <item x="131"/>
        <item x="299"/>
        <item x="161"/>
        <item x="5"/>
        <item x="68"/>
        <item x="34"/>
        <item x="325"/>
        <item x="159"/>
        <item x="119"/>
        <item x="227"/>
        <item x="160"/>
        <item x="380"/>
        <item x="24"/>
        <item x="105"/>
        <item x="156"/>
        <item x="55"/>
        <item x="274"/>
        <item x="83"/>
        <item x="102"/>
        <item x="101"/>
        <item x="36"/>
        <item x="148"/>
        <item t="default"/>
      </items>
    </pivotField>
    <pivotField numFmtId="14" showAll="0"/>
    <pivotField numFmtId="1" showAll="0"/>
    <pivotField showAll="0"/>
    <pivotField showAll="0"/>
    <pivotField showAll="0"/>
  </pivotFields>
  <rowItems count="1">
    <i/>
  </rowItems>
  <colItems count="1">
    <i/>
  </colItems>
  <dataFields count="1">
    <dataField name="Lucro Total" fld="11" baseField="0" baseItem="0"/>
  </dataFields>
  <formats count="3">
    <format dxfId="172">
      <pivotArea dataOnly="0" outline="0" axis="axisValues" fieldPosition="0"/>
    </format>
    <format dxfId="171">
      <pivotArea outline="0" collapsedLevelsAreSubtotals="1" fieldPosition="0"/>
    </format>
    <format dxfId="170">
      <pivotArea outline="0" collapsedLevelsAreSubtotals="1" fieldPosition="0"/>
    </format>
  </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4A8C8-228D-4942-AE89-A672421269E1}" name="Tabela dinâmica6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:B10" firstHeaderRow="1" firstDataRow="1" firstDataCol="0"/>
  <pivotFields count="17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>
      <items count="560">
        <item x="282"/>
        <item x="492"/>
        <item x="217"/>
        <item x="493"/>
        <item x="73"/>
        <item x="355"/>
        <item x="508"/>
        <item x="429"/>
        <item x="70"/>
        <item x="151"/>
        <item x="280"/>
        <item x="352"/>
        <item x="360"/>
        <item x="333"/>
        <item x="249"/>
        <item x="494"/>
        <item x="118"/>
        <item x="178"/>
        <item x="318"/>
        <item x="361"/>
        <item x="485"/>
        <item x="557"/>
        <item x="371"/>
        <item x="297"/>
        <item x="18"/>
        <item x="44"/>
        <item x="510"/>
        <item x="540"/>
        <item x="78"/>
        <item x="545"/>
        <item x="446"/>
        <item x="397"/>
        <item x="546"/>
        <item x="396"/>
        <item x="350"/>
        <item x="15"/>
        <item x="477"/>
        <item x="19"/>
        <item x="552"/>
        <item x="468"/>
        <item x="214"/>
        <item x="304"/>
        <item x="246"/>
        <item x="176"/>
        <item x="284"/>
        <item x="373"/>
        <item x="294"/>
        <item x="43"/>
        <item x="483"/>
        <item x="248"/>
        <item x="465"/>
        <item x="165"/>
        <item x="467"/>
        <item x="200"/>
        <item x="23"/>
        <item x="316"/>
        <item x="293"/>
        <item x="241"/>
        <item x="86"/>
        <item x="556"/>
        <item x="20"/>
        <item x="484"/>
        <item x="382"/>
        <item x="419"/>
        <item x="471"/>
        <item x="240"/>
        <item x="434"/>
        <item x="52"/>
        <item x="166"/>
        <item x="460"/>
        <item x="45"/>
        <item x="372"/>
        <item x="14"/>
        <item x="221"/>
        <item x="544"/>
        <item x="342"/>
        <item x="154"/>
        <item x="291"/>
        <item x="398"/>
        <item x="228"/>
        <item x="159"/>
        <item x="324"/>
        <item x="298"/>
        <item x="250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507"/>
        <item x="423"/>
        <item x="81"/>
        <item x="336"/>
        <item x="387"/>
        <item x="522"/>
        <item x="548"/>
        <item x="134"/>
        <item x="106"/>
        <item x="69"/>
        <item x="91"/>
        <item x="61"/>
        <item x="454"/>
        <item x="195"/>
        <item x="321"/>
        <item x="64"/>
        <item x="79"/>
        <item x="326"/>
        <item x="104"/>
        <item x="141"/>
        <item x="146"/>
        <item x="202"/>
        <item x="65"/>
        <item x="92"/>
        <item x="345"/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364"/>
        <item x="519"/>
        <item x="476"/>
        <item x="308"/>
        <item x="283"/>
        <item x="376"/>
        <item x="487"/>
        <item x="210"/>
        <item x="309"/>
        <item x="124"/>
        <item x="276"/>
        <item x="452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80"/>
        <item x="410"/>
        <item x="233"/>
        <item x="21"/>
        <item x="432"/>
        <item x="407"/>
        <item x="224"/>
        <item x="182"/>
        <item x="337"/>
        <item x="269"/>
        <item x="126"/>
        <item x="402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504"/>
        <item x="449"/>
        <item x="528"/>
        <item x="439"/>
        <item x="263"/>
        <item x="184"/>
        <item x="553"/>
        <item x="325"/>
        <item x="219"/>
        <item x="107"/>
        <item x="226"/>
        <item x="74"/>
        <item x="10"/>
        <item x="96"/>
        <item x="229"/>
        <item x="17"/>
        <item x="425"/>
        <item x="31"/>
        <item x="290"/>
        <item x="517"/>
        <item x="186"/>
        <item x="206"/>
        <item x="150"/>
        <item x="443"/>
        <item x="506"/>
        <item x="331"/>
        <item x="417"/>
        <item x="445"/>
        <item x="271"/>
        <item x="526"/>
        <item x="500"/>
        <item x="363"/>
        <item x="264"/>
        <item x="338"/>
        <item x="147"/>
        <item x="192"/>
        <item x="259"/>
        <item x="335"/>
        <item x="47"/>
        <item x="448"/>
        <item x="341"/>
        <item x="181"/>
        <item x="289"/>
        <item x="285"/>
        <item x="209"/>
        <item x="188"/>
        <item x="180"/>
        <item x="267"/>
        <item x="435"/>
        <item x="258"/>
        <item x="220"/>
        <item x="54"/>
        <item x="442"/>
        <item x="223"/>
        <item x="90"/>
        <item x="343"/>
        <item x="111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312"/>
        <item x="386"/>
        <item x="542"/>
        <item x="164"/>
        <item x="32"/>
        <item x="24"/>
        <item x="255"/>
        <item x="119"/>
        <item x="377"/>
        <item x="161"/>
        <item x="555"/>
        <item x="521"/>
        <item x="543"/>
        <item x="163"/>
        <item x="35"/>
        <item x="523"/>
        <item x="412"/>
        <item x="525"/>
        <item x="549"/>
        <item x="346"/>
        <item x="105"/>
        <item x="505"/>
        <item x="296"/>
        <item x="486"/>
        <item x="230"/>
        <item x="57"/>
        <item x="232"/>
        <item x="302"/>
        <item x="327"/>
        <item x="388"/>
        <item x="122"/>
        <item x="340"/>
        <item x="365"/>
        <item x="158"/>
        <item x="60"/>
        <item x="55"/>
        <item x="403"/>
        <item x="275"/>
        <item x="328"/>
        <item x="475"/>
        <item x="389"/>
        <item x="128"/>
        <item x="148"/>
        <item x="538"/>
        <item x="68"/>
        <item x="383"/>
        <item x="440"/>
        <item x="277"/>
        <item x="36"/>
        <item x="83"/>
        <item x="102"/>
        <item x="101"/>
        <item x="334"/>
        <item x="319"/>
        <item x="149"/>
        <item t="default"/>
      </items>
    </pivotField>
    <pivotField numFmtId="164" showAll="0"/>
    <pivotField numFmtId="164" showAll="0"/>
    <pivotField numFmtId="14" showAll="0"/>
    <pivotField numFmtId="1" showAll="0"/>
    <pivotField showAll="0"/>
    <pivotField showAll="0"/>
    <pivotField showAll="0"/>
  </pivotFields>
  <rowItems count="1">
    <i/>
  </rowItems>
  <colItems count="1">
    <i/>
  </colItems>
  <dataFields count="1">
    <dataField name="Faturamento Total" fld="9" baseField="0" baseItem="0"/>
  </dataFields>
  <formats count="1">
    <format dxfId="169">
      <pivotArea outline="0" collapsedLevelsAreSubtotals="1" fieldPosition="0"/>
    </format>
  </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188" dataDxfId="187">
  <autoFilter ref="A1:Q701" xr:uid="{00000000-0009-0000-0100-000001000000}"/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86"/>
    <tableColumn id="19" xr3:uid="{00000000-0010-0000-0000-000013000000}" name="Discount Band" dataDxfId="185"/>
    <tableColumn id="6" xr3:uid="{00000000-0010-0000-0000-000006000000}" name="Units Sold"/>
    <tableColumn id="7" xr3:uid="{00000000-0010-0000-0000-000007000000}" name="Manufacturing Price" dataDxfId="184"/>
    <tableColumn id="8" xr3:uid="{00000000-0010-0000-0000-000008000000}" name="Sale Price" dataDxfId="183"/>
    <tableColumn id="9" xr3:uid="{00000000-0010-0000-0000-000009000000}" name="Gross Sales" dataDxfId="182"/>
    <tableColumn id="10" xr3:uid="{00000000-0010-0000-0000-00000A000000}" name="Discounts" dataDxfId="181"/>
    <tableColumn id="11" xr3:uid="{00000000-0010-0000-0000-00000B000000}" name=" Sales" dataDxfId="180"/>
    <tableColumn id="12" xr3:uid="{00000000-0010-0000-0000-00000C000000}" name="COGS" dataDxfId="175" dataCellStyle="Moeda"/>
    <tableColumn id="13" xr3:uid="{00000000-0010-0000-0000-00000D000000}" name="Profit" dataDxfId="174" dataCellStyle="Moeda"/>
    <tableColumn id="4" xr3:uid="{00000000-0010-0000-0000-000004000000}" name="Date" dataDxfId="179"/>
    <tableColumn id="17" xr3:uid="{00000000-0010-0000-0000-000011000000}" name="Month Number" dataDxfId="178"/>
    <tableColumn id="18" xr3:uid="{00000000-0010-0000-0000-000012000000}" name="Month Name" dataDxfId="177"/>
    <tableColumn id="20" xr3:uid="{00000000-0010-0000-0000-000014000000}" name="Year" dataDxfId="176"/>
    <tableColumn id="3" xr3:uid="{C2034964-5541-43F8-812E-C0D6BBA28D08}" name="Coluna1" dataDxfId="17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opLeftCell="A2" zoomScale="85" zoomScaleNormal="85" workbookViewId="0">
      <selection sqref="A1:Q70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7.140625" style="1" customWidth="1"/>
    <col min="10" max="10" width="17.7109375" style="1" customWidth="1"/>
    <col min="11" max="11" width="18.570312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7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  <c r="Q1" s="11" t="s">
        <v>50</v>
      </c>
    </row>
    <row r="2" spans="1:17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  <c r="Q2" s="11"/>
    </row>
    <row r="3" spans="1:17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  <c r="Q3" s="11"/>
    </row>
    <row r="4" spans="1:17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  <c r="Q4" s="11"/>
    </row>
    <row r="5" spans="1:17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  <c r="Q5" s="11"/>
    </row>
    <row r="6" spans="1:17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  <c r="Q6" s="11"/>
    </row>
    <row r="7" spans="1:17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  <c r="Q7" s="11"/>
    </row>
    <row r="8" spans="1:17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  <c r="Q8" s="11"/>
    </row>
    <row r="9" spans="1:17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  <c r="Q9" s="11"/>
    </row>
    <row r="10" spans="1:17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  <c r="Q10" s="11"/>
    </row>
    <row r="11" spans="1:17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  <c r="Q11" s="11"/>
    </row>
    <row r="12" spans="1:17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  <c r="Q12" s="11"/>
    </row>
    <row r="13" spans="1:17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  <c r="Q13" s="11"/>
    </row>
    <row r="14" spans="1:17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  <c r="Q14" s="11"/>
    </row>
    <row r="15" spans="1:17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  <c r="Q15" s="11"/>
    </row>
    <row r="16" spans="1:17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  <c r="Q16" s="11"/>
    </row>
    <row r="17" spans="1:17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  <c r="Q17" s="11"/>
    </row>
    <row r="18" spans="1:17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  <c r="Q18" s="11"/>
    </row>
    <row r="19" spans="1:17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  <c r="Q19" s="11"/>
    </row>
    <row r="20" spans="1:17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  <c r="Q20" s="11"/>
    </row>
    <row r="21" spans="1:17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  <c r="Q21" s="11"/>
    </row>
    <row r="22" spans="1:17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  <c r="Q22" s="11"/>
    </row>
    <row r="23" spans="1:17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  <c r="Q23" s="11"/>
    </row>
    <row r="24" spans="1:17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  <c r="Q24" s="11"/>
    </row>
    <row r="25" spans="1:17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  <c r="Q25" s="11"/>
    </row>
    <row r="26" spans="1:17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  <c r="Q26" s="11"/>
    </row>
    <row r="27" spans="1:17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  <c r="Q27" s="11"/>
    </row>
    <row r="28" spans="1:17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  <c r="Q28" s="11"/>
    </row>
    <row r="29" spans="1:17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  <c r="Q29" s="11"/>
    </row>
    <row r="30" spans="1:17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  <c r="Q30" s="11"/>
    </row>
    <row r="31" spans="1:17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  <c r="Q31" s="11"/>
    </row>
    <row r="32" spans="1:17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  <c r="Q32" s="11"/>
    </row>
    <row r="33" spans="1:17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  <c r="Q33" s="11"/>
    </row>
    <row r="34" spans="1:17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  <c r="Q34" s="11"/>
    </row>
    <row r="35" spans="1:17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  <c r="Q35" s="11"/>
    </row>
    <row r="36" spans="1:17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  <c r="Q36" s="11"/>
    </row>
    <row r="37" spans="1:17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  <c r="Q37" s="11"/>
    </row>
    <row r="38" spans="1:17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  <c r="Q38" s="11"/>
    </row>
    <row r="39" spans="1:17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  <c r="Q39" s="11"/>
    </row>
    <row r="40" spans="1:17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  <c r="Q40" s="11"/>
    </row>
    <row r="41" spans="1:17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  <c r="Q41" s="11"/>
    </row>
    <row r="42" spans="1:17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  <c r="Q42" s="11"/>
    </row>
    <row r="43" spans="1:17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  <c r="Q43" s="11"/>
    </row>
    <row r="44" spans="1:17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  <c r="Q44" s="11"/>
    </row>
    <row r="45" spans="1:17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  <c r="Q45" s="11"/>
    </row>
    <row r="46" spans="1:17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  <c r="Q46" s="11"/>
    </row>
    <row r="47" spans="1:17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  <c r="Q47" s="11"/>
    </row>
    <row r="48" spans="1:17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  <c r="Q48" s="11"/>
    </row>
    <row r="49" spans="1:17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  <c r="Q49" s="11"/>
    </row>
    <row r="50" spans="1:17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  <c r="Q50" s="11"/>
    </row>
    <row r="51" spans="1:17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  <c r="Q51" s="11"/>
    </row>
    <row r="52" spans="1:17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  <c r="Q52" s="11"/>
    </row>
    <row r="53" spans="1:17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  <c r="Q53" s="11"/>
    </row>
    <row r="54" spans="1:17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  <c r="Q54" s="11"/>
    </row>
    <row r="55" spans="1:17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  <c r="Q55" s="11"/>
    </row>
    <row r="56" spans="1:17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  <c r="Q56" s="11"/>
    </row>
    <row r="57" spans="1:17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  <c r="Q57" s="11"/>
    </row>
    <row r="58" spans="1:17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  <c r="Q58" s="11"/>
    </row>
    <row r="59" spans="1:17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  <c r="Q59" s="11"/>
    </row>
    <row r="60" spans="1:17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  <c r="Q60" s="11"/>
    </row>
    <row r="61" spans="1:17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  <c r="Q61" s="11"/>
    </row>
    <row r="62" spans="1:17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  <c r="Q62" s="11"/>
    </row>
    <row r="63" spans="1:17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  <c r="Q63" s="11"/>
    </row>
    <row r="64" spans="1:17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  <c r="Q64" s="11"/>
    </row>
    <row r="65" spans="1:17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  <c r="Q65" s="11"/>
    </row>
    <row r="66" spans="1:17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  <c r="Q66" s="11"/>
    </row>
    <row r="67" spans="1:17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  <c r="Q67" s="11"/>
    </row>
    <row r="68" spans="1:17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  <c r="Q68" s="11"/>
    </row>
    <row r="69" spans="1:17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  <c r="Q69" s="11"/>
    </row>
    <row r="70" spans="1:17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  <c r="Q70" s="11"/>
    </row>
    <row r="71" spans="1:17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  <c r="Q71" s="11"/>
    </row>
    <row r="72" spans="1:17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  <c r="Q72" s="11"/>
    </row>
    <row r="73" spans="1:17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  <c r="Q73" s="11"/>
    </row>
    <row r="74" spans="1:17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  <c r="Q74" s="11"/>
    </row>
    <row r="75" spans="1:17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  <c r="Q75" s="11"/>
    </row>
    <row r="76" spans="1:17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  <c r="Q76" s="11"/>
    </row>
    <row r="77" spans="1:17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  <c r="Q77" s="11"/>
    </row>
    <row r="78" spans="1:17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  <c r="Q78" s="11"/>
    </row>
    <row r="79" spans="1:17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  <c r="Q79" s="11"/>
    </row>
    <row r="80" spans="1:17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  <c r="Q80" s="11"/>
    </row>
    <row r="81" spans="1:17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  <c r="Q81" s="11"/>
    </row>
    <row r="82" spans="1:17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  <c r="Q82" s="11"/>
    </row>
    <row r="83" spans="1:17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  <c r="Q83" s="11"/>
    </row>
    <row r="84" spans="1:17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  <c r="Q84" s="11"/>
    </row>
    <row r="85" spans="1:17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  <c r="Q85" s="11"/>
    </row>
    <row r="86" spans="1:17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  <c r="Q86" s="11"/>
    </row>
    <row r="87" spans="1:17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  <c r="Q87" s="11"/>
    </row>
    <row r="88" spans="1:17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  <c r="Q88" s="11"/>
    </row>
    <row r="89" spans="1:17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  <c r="Q89" s="11"/>
    </row>
    <row r="90" spans="1:17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  <c r="Q90" s="11"/>
    </row>
    <row r="91" spans="1:17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  <c r="Q91" s="11"/>
    </row>
    <row r="92" spans="1:17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  <c r="Q92" s="11"/>
    </row>
    <row r="93" spans="1:17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  <c r="Q93" s="11"/>
    </row>
    <row r="94" spans="1:17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  <c r="Q94" s="11"/>
    </row>
    <row r="95" spans="1:17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  <c r="Q95" s="11"/>
    </row>
    <row r="96" spans="1:17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  <c r="Q96" s="11"/>
    </row>
    <row r="97" spans="1:17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  <c r="Q97" s="11"/>
    </row>
    <row r="98" spans="1:17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  <c r="Q98" s="11"/>
    </row>
    <row r="99" spans="1:17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  <c r="Q99" s="11"/>
    </row>
    <row r="100" spans="1:17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  <c r="Q100" s="11"/>
    </row>
    <row r="101" spans="1:17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  <c r="Q101" s="11"/>
    </row>
    <row r="102" spans="1:17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  <c r="Q102" s="11"/>
    </row>
    <row r="103" spans="1:17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  <c r="Q103" s="11"/>
    </row>
    <row r="104" spans="1:17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  <c r="Q104" s="11"/>
    </row>
    <row r="105" spans="1:17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  <c r="Q105" s="11"/>
    </row>
    <row r="106" spans="1:17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  <c r="Q106" s="11"/>
    </row>
    <row r="107" spans="1:17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  <c r="Q107" s="11"/>
    </row>
    <row r="108" spans="1:17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  <c r="Q108" s="11"/>
    </row>
    <row r="109" spans="1:17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  <c r="Q109" s="11"/>
    </row>
    <row r="110" spans="1:17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  <c r="Q110" s="11"/>
    </row>
    <row r="111" spans="1:17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  <c r="Q111" s="11"/>
    </row>
    <row r="112" spans="1:17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  <c r="Q112" s="11"/>
    </row>
    <row r="113" spans="1:17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  <c r="Q113" s="11"/>
    </row>
    <row r="114" spans="1:17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  <c r="Q114" s="11"/>
    </row>
    <row r="115" spans="1:17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  <c r="Q115" s="11"/>
    </row>
    <row r="116" spans="1:17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  <c r="Q116" s="11"/>
    </row>
    <row r="117" spans="1:17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  <c r="Q117" s="11"/>
    </row>
    <row r="118" spans="1:17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  <c r="Q118" s="11"/>
    </row>
    <row r="119" spans="1:17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  <c r="Q119" s="11"/>
    </row>
    <row r="120" spans="1:17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  <c r="Q120" s="11"/>
    </row>
    <row r="121" spans="1:17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  <c r="Q121" s="11"/>
    </row>
    <row r="122" spans="1:17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  <c r="Q122" s="11"/>
    </row>
    <row r="123" spans="1:17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  <c r="Q123" s="11"/>
    </row>
    <row r="124" spans="1:17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  <c r="Q124" s="11"/>
    </row>
    <row r="125" spans="1:17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  <c r="Q125" s="11"/>
    </row>
    <row r="126" spans="1:17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  <c r="Q126" s="11"/>
    </row>
    <row r="127" spans="1:17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  <c r="Q127" s="11"/>
    </row>
    <row r="128" spans="1:17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  <c r="Q128" s="11"/>
    </row>
    <row r="129" spans="1:17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  <c r="Q129" s="11"/>
    </row>
    <row r="130" spans="1:17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  <c r="Q130" s="11"/>
    </row>
    <row r="131" spans="1:17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  <c r="Q131" s="11"/>
    </row>
    <row r="132" spans="1:17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  <c r="Q132" s="11"/>
    </row>
    <row r="133" spans="1:17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  <c r="Q133" s="11"/>
    </row>
    <row r="134" spans="1:17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  <c r="Q134" s="11"/>
    </row>
    <row r="135" spans="1:17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  <c r="Q135" s="11"/>
    </row>
    <row r="136" spans="1:17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  <c r="Q136" s="11"/>
    </row>
    <row r="137" spans="1:17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  <c r="Q137" s="11"/>
    </row>
    <row r="138" spans="1:17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  <c r="Q138" s="11"/>
    </row>
    <row r="139" spans="1:17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  <c r="Q139" s="11"/>
    </row>
    <row r="140" spans="1:17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  <c r="Q140" s="11"/>
    </row>
    <row r="141" spans="1:17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  <c r="Q141" s="11"/>
    </row>
    <row r="142" spans="1:17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  <c r="Q142" s="11"/>
    </row>
    <row r="143" spans="1:17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  <c r="Q143" s="11"/>
    </row>
    <row r="144" spans="1:17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  <c r="Q144" s="11"/>
    </row>
    <row r="145" spans="1:17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  <c r="Q145" s="11"/>
    </row>
    <row r="146" spans="1:17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  <c r="Q146" s="11"/>
    </row>
    <row r="147" spans="1:17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  <c r="Q147" s="11"/>
    </row>
    <row r="148" spans="1:17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  <c r="Q148" s="11"/>
    </row>
    <row r="149" spans="1:17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  <c r="Q149" s="11"/>
    </row>
    <row r="150" spans="1:17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  <c r="Q150" s="11"/>
    </row>
    <row r="151" spans="1:17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  <c r="Q151" s="11"/>
    </row>
    <row r="152" spans="1:17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  <c r="Q152" s="11"/>
    </row>
    <row r="153" spans="1:17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  <c r="Q153" s="11"/>
    </row>
    <row r="154" spans="1:17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  <c r="Q154" s="11"/>
    </row>
    <row r="155" spans="1:17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  <c r="Q155" s="11"/>
    </row>
    <row r="156" spans="1:17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  <c r="Q156" s="11"/>
    </row>
    <row r="157" spans="1:17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  <c r="Q157" s="11"/>
    </row>
    <row r="158" spans="1:17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  <c r="Q158" s="11"/>
    </row>
    <row r="159" spans="1:17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  <c r="Q159" s="11"/>
    </row>
    <row r="160" spans="1:17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  <c r="Q160" s="11"/>
    </row>
    <row r="161" spans="1:17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  <c r="Q161" s="11"/>
    </row>
    <row r="162" spans="1:17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  <c r="Q162" s="11"/>
    </row>
    <row r="163" spans="1:17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  <c r="Q163" s="11"/>
    </row>
    <row r="164" spans="1:17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  <c r="Q164" s="11"/>
    </row>
    <row r="165" spans="1:17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  <c r="Q165" s="11"/>
    </row>
    <row r="166" spans="1:17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  <c r="Q166" s="11"/>
    </row>
    <row r="167" spans="1:17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  <c r="Q167" s="11"/>
    </row>
    <row r="168" spans="1:17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  <c r="Q168" s="11"/>
    </row>
    <row r="169" spans="1:17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  <c r="Q169" s="11"/>
    </row>
    <row r="170" spans="1:17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  <c r="Q170" s="11"/>
    </row>
    <row r="171" spans="1:17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  <c r="Q171" s="11"/>
    </row>
    <row r="172" spans="1:17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  <c r="Q172" s="11"/>
    </row>
    <row r="173" spans="1:17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  <c r="Q173" s="11"/>
    </row>
    <row r="174" spans="1:17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  <c r="Q174" s="11"/>
    </row>
    <row r="175" spans="1:17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  <c r="Q175" s="11"/>
    </row>
    <row r="176" spans="1:17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  <c r="Q176" s="11"/>
    </row>
    <row r="177" spans="1:17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  <c r="Q177" s="11"/>
    </row>
    <row r="178" spans="1:17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  <c r="Q178" s="11"/>
    </row>
    <row r="179" spans="1:17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  <c r="Q179" s="11"/>
    </row>
    <row r="180" spans="1:17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  <c r="Q180" s="11"/>
    </row>
    <row r="181" spans="1:17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  <c r="Q181" s="11"/>
    </row>
    <row r="182" spans="1:17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  <c r="Q182" s="11"/>
    </row>
    <row r="183" spans="1:17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  <c r="Q183" s="11"/>
    </row>
    <row r="184" spans="1:17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  <c r="Q184" s="11"/>
    </row>
    <row r="185" spans="1:17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  <c r="Q185" s="11"/>
    </row>
    <row r="186" spans="1:17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  <c r="Q186" s="11"/>
    </row>
    <row r="187" spans="1:17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  <c r="Q187" s="11"/>
    </row>
    <row r="188" spans="1:17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  <c r="Q188" s="11"/>
    </row>
    <row r="189" spans="1:17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  <c r="Q189" s="11"/>
    </row>
    <row r="190" spans="1:17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  <c r="Q190" s="11"/>
    </row>
    <row r="191" spans="1:17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  <c r="Q191" s="11"/>
    </row>
    <row r="192" spans="1:17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  <c r="Q192" s="11"/>
    </row>
    <row r="193" spans="1:17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  <c r="Q193" s="11"/>
    </row>
    <row r="194" spans="1:17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  <c r="Q194" s="11"/>
    </row>
    <row r="195" spans="1:17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  <c r="Q195" s="11"/>
    </row>
    <row r="196" spans="1:17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  <c r="Q196" s="11"/>
    </row>
    <row r="197" spans="1:17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  <c r="Q197" s="11"/>
    </row>
    <row r="198" spans="1:17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  <c r="Q198" s="11"/>
    </row>
    <row r="199" spans="1:17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  <c r="Q199" s="11"/>
    </row>
    <row r="200" spans="1:17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  <c r="Q200" s="11"/>
    </row>
    <row r="201" spans="1:17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  <c r="Q201" s="11"/>
    </row>
    <row r="202" spans="1:17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  <c r="Q202" s="11"/>
    </row>
    <row r="203" spans="1:17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  <c r="Q203" s="11"/>
    </row>
    <row r="204" spans="1:17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  <c r="Q204" s="11"/>
    </row>
    <row r="205" spans="1:17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  <c r="Q205" s="11"/>
    </row>
    <row r="206" spans="1:17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  <c r="Q206" s="11"/>
    </row>
    <row r="207" spans="1:17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  <c r="Q207" s="11"/>
    </row>
    <row r="208" spans="1:17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  <c r="Q208" s="11"/>
    </row>
    <row r="209" spans="1:17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  <c r="Q209" s="11"/>
    </row>
    <row r="210" spans="1:17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  <c r="Q210" s="11"/>
    </row>
    <row r="211" spans="1:17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  <c r="Q211" s="11"/>
    </row>
    <row r="212" spans="1:17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  <c r="Q212" s="11"/>
    </row>
    <row r="213" spans="1:17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  <c r="Q213" s="11"/>
    </row>
    <row r="214" spans="1:17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  <c r="Q214" s="11"/>
    </row>
    <row r="215" spans="1:17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  <c r="Q215" s="11"/>
    </row>
    <row r="216" spans="1:17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  <c r="Q216" s="11"/>
    </row>
    <row r="217" spans="1:17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  <c r="Q217" s="11"/>
    </row>
    <row r="218" spans="1:17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  <c r="Q218" s="11"/>
    </row>
    <row r="219" spans="1:17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  <c r="Q219" s="11"/>
    </row>
    <row r="220" spans="1:17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  <c r="Q220" s="11"/>
    </row>
    <row r="221" spans="1:17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  <c r="Q221" s="11"/>
    </row>
    <row r="222" spans="1:17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  <c r="Q222" s="11"/>
    </row>
    <row r="223" spans="1:17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  <c r="Q223" s="11"/>
    </row>
    <row r="224" spans="1:17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  <c r="Q224" s="11"/>
    </row>
    <row r="225" spans="1:17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  <c r="Q225" s="11"/>
    </row>
    <row r="226" spans="1:17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  <c r="Q226" s="11"/>
    </row>
    <row r="227" spans="1:17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  <c r="Q227" s="11"/>
    </row>
    <row r="228" spans="1:17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  <c r="Q228" s="11"/>
    </row>
    <row r="229" spans="1:17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  <c r="Q229" s="11"/>
    </row>
    <row r="230" spans="1:17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  <c r="Q230" s="11"/>
    </row>
    <row r="231" spans="1:17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  <c r="Q231" s="11"/>
    </row>
    <row r="232" spans="1:17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  <c r="Q232" s="11"/>
    </row>
    <row r="233" spans="1:17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  <c r="Q233" s="11"/>
    </row>
    <row r="234" spans="1:17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  <c r="Q234" s="11"/>
    </row>
    <row r="235" spans="1:17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  <c r="Q235" s="11"/>
    </row>
    <row r="236" spans="1:17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  <c r="Q236" s="11"/>
    </row>
    <row r="237" spans="1:17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  <c r="Q237" s="11"/>
    </row>
    <row r="238" spans="1:17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  <c r="Q238" s="11"/>
    </row>
    <row r="239" spans="1:17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  <c r="Q239" s="11"/>
    </row>
    <row r="240" spans="1:17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  <c r="Q240" s="11"/>
    </row>
    <row r="241" spans="1:17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  <c r="Q241" s="11"/>
    </row>
    <row r="242" spans="1:17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  <c r="Q242" s="11"/>
    </row>
    <row r="243" spans="1:17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  <c r="Q243" s="11"/>
    </row>
    <row r="244" spans="1:17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  <c r="Q244" s="11"/>
    </row>
    <row r="245" spans="1:17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  <c r="Q245" s="11"/>
    </row>
    <row r="246" spans="1:17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  <c r="Q246" s="11"/>
    </row>
    <row r="247" spans="1:17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  <c r="Q247" s="11"/>
    </row>
    <row r="248" spans="1:17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  <c r="Q248" s="11"/>
    </row>
    <row r="249" spans="1:17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  <c r="Q249" s="11"/>
    </row>
    <row r="250" spans="1:17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  <c r="Q250" s="11"/>
    </row>
    <row r="251" spans="1:17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  <c r="Q251" s="11"/>
    </row>
    <row r="252" spans="1:17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  <c r="Q252" s="11"/>
    </row>
    <row r="253" spans="1:17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  <c r="Q253" s="11"/>
    </row>
    <row r="254" spans="1:17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  <c r="Q254" s="11"/>
    </row>
    <row r="255" spans="1:17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  <c r="Q255" s="11"/>
    </row>
    <row r="256" spans="1:17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  <c r="Q256" s="11"/>
    </row>
    <row r="257" spans="1:17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  <c r="Q257" s="11"/>
    </row>
    <row r="258" spans="1:17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  <c r="Q258" s="11"/>
    </row>
    <row r="259" spans="1:17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  <c r="Q259" s="11"/>
    </row>
    <row r="260" spans="1:17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  <c r="Q260" s="11"/>
    </row>
    <row r="261" spans="1:17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  <c r="Q261" s="11"/>
    </row>
    <row r="262" spans="1:17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  <c r="Q262" s="11"/>
    </row>
    <row r="263" spans="1:17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  <c r="Q263" s="11"/>
    </row>
    <row r="264" spans="1:17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  <c r="Q264" s="11"/>
    </row>
    <row r="265" spans="1:17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  <c r="Q265" s="11"/>
    </row>
    <row r="266" spans="1:17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  <c r="Q266" s="11"/>
    </row>
    <row r="267" spans="1:17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  <c r="Q267" s="11"/>
    </row>
    <row r="268" spans="1:17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  <c r="Q268" s="11"/>
    </row>
    <row r="269" spans="1:17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  <c r="Q269" s="11"/>
    </row>
    <row r="270" spans="1:17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  <c r="Q270" s="11"/>
    </row>
    <row r="271" spans="1:17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  <c r="Q271" s="11"/>
    </row>
    <row r="272" spans="1:17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  <c r="Q272" s="11"/>
    </row>
    <row r="273" spans="1:17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  <c r="Q273" s="11"/>
    </row>
    <row r="274" spans="1:17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  <c r="Q274" s="11"/>
    </row>
    <row r="275" spans="1:17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  <c r="Q275" s="11"/>
    </row>
    <row r="276" spans="1:17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  <c r="Q276" s="11"/>
    </row>
    <row r="277" spans="1:17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  <c r="Q277" s="11"/>
    </row>
    <row r="278" spans="1:17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  <c r="Q278" s="11"/>
    </row>
    <row r="279" spans="1:17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  <c r="Q279" s="11"/>
    </row>
    <row r="280" spans="1:17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  <c r="Q280" s="11"/>
    </row>
    <row r="281" spans="1:17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  <c r="Q281" s="11"/>
    </row>
    <row r="282" spans="1:17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  <c r="Q282" s="11"/>
    </row>
    <row r="283" spans="1:17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  <c r="Q283" s="11"/>
    </row>
    <row r="284" spans="1:17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  <c r="Q284" s="11"/>
    </row>
    <row r="285" spans="1:17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  <c r="Q285" s="11"/>
    </row>
    <row r="286" spans="1:17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  <c r="Q286" s="11"/>
    </row>
    <row r="287" spans="1:17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  <c r="Q287" s="11"/>
    </row>
    <row r="288" spans="1:17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  <c r="Q288" s="11"/>
    </row>
    <row r="289" spans="1:17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  <c r="Q289" s="11"/>
    </row>
    <row r="290" spans="1:17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  <c r="Q290" s="11"/>
    </row>
    <row r="291" spans="1:17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  <c r="Q291" s="11"/>
    </row>
    <row r="292" spans="1:17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  <c r="Q292" s="11"/>
    </row>
    <row r="293" spans="1:17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  <c r="Q293" s="11"/>
    </row>
    <row r="294" spans="1:17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  <c r="Q294" s="11"/>
    </row>
    <row r="295" spans="1:17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  <c r="Q295" s="11"/>
    </row>
    <row r="296" spans="1:17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  <c r="Q296" s="11"/>
    </row>
    <row r="297" spans="1:17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  <c r="Q297" s="11"/>
    </row>
    <row r="298" spans="1:17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  <c r="Q298" s="11"/>
    </row>
    <row r="299" spans="1:17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  <c r="Q299" s="11"/>
    </row>
    <row r="300" spans="1:17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  <c r="Q300" s="11"/>
    </row>
    <row r="301" spans="1:17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  <c r="Q301" s="11"/>
    </row>
    <row r="302" spans="1:17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  <c r="Q302" s="11"/>
    </row>
    <row r="303" spans="1:17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  <c r="Q303" s="11"/>
    </row>
    <row r="304" spans="1:17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  <c r="Q304" s="11"/>
    </row>
    <row r="305" spans="1:17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  <c r="Q305" s="11"/>
    </row>
    <row r="306" spans="1:17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  <c r="Q306" s="11"/>
    </row>
    <row r="307" spans="1:17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  <c r="Q307" s="11"/>
    </row>
    <row r="308" spans="1:17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  <c r="Q308" s="11"/>
    </row>
    <row r="309" spans="1:17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  <c r="Q309" s="11"/>
    </row>
    <row r="310" spans="1:17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  <c r="Q310" s="11"/>
    </row>
    <row r="311" spans="1:17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  <c r="Q311" s="11"/>
    </row>
    <row r="312" spans="1:17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  <c r="Q312" s="11"/>
    </row>
    <row r="313" spans="1:17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  <c r="Q313" s="11"/>
    </row>
    <row r="314" spans="1:17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  <c r="Q314" s="11"/>
    </row>
    <row r="315" spans="1:17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  <c r="Q315" s="11"/>
    </row>
    <row r="316" spans="1:17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  <c r="Q316" s="11"/>
    </row>
    <row r="317" spans="1:17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  <c r="Q317" s="11"/>
    </row>
    <row r="318" spans="1:17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  <c r="Q318" s="11"/>
    </row>
    <row r="319" spans="1:17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  <c r="Q319" s="11"/>
    </row>
    <row r="320" spans="1:17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  <c r="Q320" s="11"/>
    </row>
    <row r="321" spans="1:17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  <c r="Q321" s="11"/>
    </row>
    <row r="322" spans="1:17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  <c r="Q322" s="11"/>
    </row>
    <row r="323" spans="1:17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  <c r="Q323" s="11"/>
    </row>
    <row r="324" spans="1:17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  <c r="Q324" s="11"/>
    </row>
    <row r="325" spans="1:17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  <c r="Q325" s="11"/>
    </row>
    <row r="326" spans="1:17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  <c r="Q326" s="11"/>
    </row>
    <row r="327" spans="1:17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  <c r="Q327" s="11"/>
    </row>
    <row r="328" spans="1:17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  <c r="Q328" s="11"/>
    </row>
    <row r="329" spans="1:17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  <c r="Q329" s="11"/>
    </row>
    <row r="330" spans="1:17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  <c r="Q330" s="11"/>
    </row>
    <row r="331" spans="1:17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  <c r="Q331" s="11"/>
    </row>
    <row r="332" spans="1:17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  <c r="Q332" s="11"/>
    </row>
    <row r="333" spans="1:17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  <c r="Q333" s="11"/>
    </row>
    <row r="334" spans="1:17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  <c r="Q334" s="11"/>
    </row>
    <row r="335" spans="1:17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  <c r="Q335" s="11"/>
    </row>
    <row r="336" spans="1:17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  <c r="Q336" s="11"/>
    </row>
    <row r="337" spans="1:17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  <c r="Q337" s="11"/>
    </row>
    <row r="338" spans="1:17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  <c r="Q338" s="11"/>
    </row>
    <row r="339" spans="1:17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  <c r="Q339" s="11"/>
    </row>
    <row r="340" spans="1:17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  <c r="Q340" s="11"/>
    </row>
    <row r="341" spans="1:17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  <c r="Q341" s="11"/>
    </row>
    <row r="342" spans="1:17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  <c r="Q342" s="11"/>
    </row>
    <row r="343" spans="1:17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  <c r="Q343" s="11"/>
    </row>
    <row r="344" spans="1:17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  <c r="Q344" s="11"/>
    </row>
    <row r="345" spans="1:17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  <c r="Q345" s="11"/>
    </row>
    <row r="346" spans="1:17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  <c r="Q346" s="11"/>
    </row>
    <row r="347" spans="1:17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  <c r="Q347" s="11"/>
    </row>
    <row r="348" spans="1:17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  <c r="Q348" s="11"/>
    </row>
    <row r="349" spans="1:17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  <c r="Q349" s="11"/>
    </row>
    <row r="350" spans="1:17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  <c r="Q350" s="11"/>
    </row>
    <row r="351" spans="1:17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  <c r="Q351" s="11"/>
    </row>
    <row r="352" spans="1:17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  <c r="Q352" s="11"/>
    </row>
    <row r="353" spans="1:17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  <c r="Q353" s="11"/>
    </row>
    <row r="354" spans="1:17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  <c r="Q354" s="11"/>
    </row>
    <row r="355" spans="1:17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  <c r="Q355" s="11"/>
    </row>
    <row r="356" spans="1:17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  <c r="Q356" s="11"/>
    </row>
    <row r="357" spans="1:17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  <c r="Q357" s="11"/>
    </row>
    <row r="358" spans="1:17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  <c r="Q358" s="11"/>
    </row>
    <row r="359" spans="1:17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  <c r="Q359" s="11"/>
    </row>
    <row r="360" spans="1:17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  <c r="Q360" s="11"/>
    </row>
    <row r="361" spans="1:17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  <c r="Q361" s="11"/>
    </row>
    <row r="362" spans="1:17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  <c r="Q362" s="11"/>
    </row>
    <row r="363" spans="1:17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  <c r="Q363" s="11"/>
    </row>
    <row r="364" spans="1:17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  <c r="Q364" s="11"/>
    </row>
    <row r="365" spans="1:17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  <c r="Q365" s="11"/>
    </row>
    <row r="366" spans="1:17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  <c r="Q366" s="11"/>
    </row>
    <row r="367" spans="1:17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  <c r="Q367" s="11"/>
    </row>
    <row r="368" spans="1:17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  <c r="Q368" s="11"/>
    </row>
    <row r="369" spans="1:17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  <c r="Q369" s="11"/>
    </row>
    <row r="370" spans="1:17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  <c r="Q370" s="11"/>
    </row>
    <row r="371" spans="1:17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  <c r="Q371" s="11"/>
    </row>
    <row r="372" spans="1:17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  <c r="Q372" s="11"/>
    </row>
    <row r="373" spans="1:17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  <c r="Q373" s="11"/>
    </row>
    <row r="374" spans="1:17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  <c r="Q374" s="11"/>
    </row>
    <row r="375" spans="1:17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  <c r="Q375" s="11"/>
    </row>
    <row r="376" spans="1:17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  <c r="Q376" s="11"/>
    </row>
    <row r="377" spans="1:17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  <c r="Q377" s="11"/>
    </row>
    <row r="378" spans="1:17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  <c r="Q378" s="11"/>
    </row>
    <row r="379" spans="1:17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  <c r="Q379" s="11"/>
    </row>
    <row r="380" spans="1:17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  <c r="Q380" s="11"/>
    </row>
    <row r="381" spans="1:17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  <c r="Q381" s="11"/>
    </row>
    <row r="382" spans="1:17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  <c r="Q382" s="11"/>
    </row>
    <row r="383" spans="1:17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  <c r="Q383" s="11"/>
    </row>
    <row r="384" spans="1:17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  <c r="Q384" s="11"/>
    </row>
    <row r="385" spans="1:17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  <c r="Q385" s="11"/>
    </row>
    <row r="386" spans="1:17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  <c r="Q386" s="11"/>
    </row>
    <row r="387" spans="1:17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  <c r="Q387" s="11"/>
    </row>
    <row r="388" spans="1:17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  <c r="Q388" s="11"/>
    </row>
    <row r="389" spans="1:17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  <c r="Q389" s="11"/>
    </row>
    <row r="390" spans="1:17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  <c r="Q390" s="11"/>
    </row>
    <row r="391" spans="1:17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  <c r="Q391" s="11"/>
    </row>
    <row r="392" spans="1:17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  <c r="Q392" s="11"/>
    </row>
    <row r="393" spans="1:17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  <c r="Q393" s="11"/>
    </row>
    <row r="394" spans="1:17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  <c r="Q394" s="11"/>
    </row>
    <row r="395" spans="1:17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  <c r="Q395" s="11"/>
    </row>
    <row r="396" spans="1:17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  <c r="Q396" s="11"/>
    </row>
    <row r="397" spans="1:17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  <c r="Q397" s="11"/>
    </row>
    <row r="398" spans="1:17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  <c r="Q398" s="11"/>
    </row>
    <row r="399" spans="1:17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  <c r="Q399" s="11"/>
    </row>
    <row r="400" spans="1:17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  <c r="Q400" s="11"/>
    </row>
    <row r="401" spans="1:17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  <c r="Q401" s="11"/>
    </row>
    <row r="402" spans="1:17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  <c r="Q402" s="11"/>
    </row>
    <row r="403" spans="1:17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  <c r="Q403" s="11"/>
    </row>
    <row r="404" spans="1:17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  <c r="Q404" s="11"/>
    </row>
    <row r="405" spans="1:17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  <c r="Q405" s="11"/>
    </row>
    <row r="406" spans="1:17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  <c r="Q406" s="11"/>
    </row>
    <row r="407" spans="1:17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  <c r="Q407" s="11"/>
    </row>
    <row r="408" spans="1:17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  <c r="Q408" s="11"/>
    </row>
    <row r="409" spans="1:17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  <c r="Q409" s="11"/>
    </row>
    <row r="410" spans="1:17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  <c r="Q410" s="11"/>
    </row>
    <row r="411" spans="1:17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  <c r="Q411" s="11"/>
    </row>
    <row r="412" spans="1:17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  <c r="Q412" s="11"/>
    </row>
    <row r="413" spans="1:17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  <c r="Q413" s="11"/>
    </row>
    <row r="414" spans="1:17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  <c r="Q414" s="11"/>
    </row>
    <row r="415" spans="1:17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  <c r="Q415" s="11"/>
    </row>
    <row r="416" spans="1:17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  <c r="Q416" s="11"/>
    </row>
    <row r="417" spans="1:17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  <c r="Q417" s="11"/>
    </row>
    <row r="418" spans="1:17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  <c r="Q418" s="11"/>
    </row>
    <row r="419" spans="1:17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  <c r="Q419" s="11"/>
    </row>
    <row r="420" spans="1:17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  <c r="Q420" s="11"/>
    </row>
    <row r="421" spans="1:17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  <c r="Q421" s="11"/>
    </row>
    <row r="422" spans="1:17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  <c r="Q422" s="11"/>
    </row>
    <row r="423" spans="1:17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  <c r="Q423" s="11"/>
    </row>
    <row r="424" spans="1:17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  <c r="Q424" s="11"/>
    </row>
    <row r="425" spans="1:17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  <c r="Q425" s="11"/>
    </row>
    <row r="426" spans="1:17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  <c r="Q426" s="11"/>
    </row>
    <row r="427" spans="1:17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  <c r="Q427" s="11"/>
    </row>
    <row r="428" spans="1:17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  <c r="Q428" s="11"/>
    </row>
    <row r="429" spans="1:17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  <c r="Q429" s="11"/>
    </row>
    <row r="430" spans="1:17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  <c r="Q430" s="11"/>
    </row>
    <row r="431" spans="1:17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  <c r="Q431" s="11"/>
    </row>
    <row r="432" spans="1:17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  <c r="Q432" s="11"/>
    </row>
    <row r="433" spans="1:17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  <c r="Q433" s="11"/>
    </row>
    <row r="434" spans="1:17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  <c r="Q434" s="11"/>
    </row>
    <row r="435" spans="1:17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  <c r="Q435" s="11"/>
    </row>
    <row r="436" spans="1:17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  <c r="Q436" s="11"/>
    </row>
    <row r="437" spans="1:17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  <c r="Q437" s="11"/>
    </row>
    <row r="438" spans="1:17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  <c r="Q438" s="11"/>
    </row>
    <row r="439" spans="1:17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  <c r="Q439" s="11"/>
    </row>
    <row r="440" spans="1:17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  <c r="Q440" s="11"/>
    </row>
    <row r="441" spans="1:17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  <c r="Q441" s="11"/>
    </row>
    <row r="442" spans="1:17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  <c r="Q442" s="11"/>
    </row>
    <row r="443" spans="1:17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  <c r="Q443" s="11"/>
    </row>
    <row r="444" spans="1:17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  <c r="Q444" s="11"/>
    </row>
    <row r="445" spans="1:17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  <c r="Q445" s="11"/>
    </row>
    <row r="446" spans="1:17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  <c r="Q446" s="11"/>
    </row>
    <row r="447" spans="1:17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  <c r="Q447" s="11"/>
    </row>
    <row r="448" spans="1:17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  <c r="Q448" s="11"/>
    </row>
    <row r="449" spans="1:17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  <c r="Q449" s="11"/>
    </row>
    <row r="450" spans="1:17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  <c r="Q450" s="11"/>
    </row>
    <row r="451" spans="1:17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  <c r="Q451" s="11"/>
    </row>
    <row r="452" spans="1:17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  <c r="Q452" s="11"/>
    </row>
    <row r="453" spans="1:17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  <c r="Q453" s="11"/>
    </row>
    <row r="454" spans="1:17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  <c r="Q454" s="11"/>
    </row>
    <row r="455" spans="1:17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  <c r="Q455" s="11"/>
    </row>
    <row r="456" spans="1:17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  <c r="Q456" s="11"/>
    </row>
    <row r="457" spans="1:17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  <c r="Q457" s="11"/>
    </row>
    <row r="458" spans="1:17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  <c r="Q458" s="11"/>
    </row>
    <row r="459" spans="1:17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  <c r="Q459" s="11"/>
    </row>
    <row r="460" spans="1:17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  <c r="Q460" s="11"/>
    </row>
    <row r="461" spans="1:17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  <c r="Q461" s="11"/>
    </row>
    <row r="462" spans="1:17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  <c r="Q462" s="11"/>
    </row>
    <row r="463" spans="1:17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  <c r="Q463" s="11"/>
    </row>
    <row r="464" spans="1:17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  <c r="Q464" s="11"/>
    </row>
    <row r="465" spans="1:17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  <c r="Q465" s="11"/>
    </row>
    <row r="466" spans="1:17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  <c r="Q466" s="11"/>
    </row>
    <row r="467" spans="1:17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  <c r="Q467" s="11"/>
    </row>
    <row r="468" spans="1:17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  <c r="Q468" s="11"/>
    </row>
    <row r="469" spans="1:17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  <c r="Q469" s="11"/>
    </row>
    <row r="470" spans="1:17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  <c r="Q470" s="11"/>
    </row>
    <row r="471" spans="1:17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  <c r="Q471" s="11"/>
    </row>
    <row r="472" spans="1:17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  <c r="Q472" s="11"/>
    </row>
    <row r="473" spans="1:17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  <c r="Q473" s="11"/>
    </row>
    <row r="474" spans="1:17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  <c r="Q474" s="11"/>
    </row>
    <row r="475" spans="1:17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  <c r="Q475" s="11"/>
    </row>
    <row r="476" spans="1:17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  <c r="Q476" s="11"/>
    </row>
    <row r="477" spans="1:17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  <c r="Q477" s="11"/>
    </row>
    <row r="478" spans="1:17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  <c r="Q478" s="11"/>
    </row>
    <row r="479" spans="1:17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  <c r="Q479" s="11"/>
    </row>
    <row r="480" spans="1:17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  <c r="Q480" s="11"/>
    </row>
    <row r="481" spans="1:17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  <c r="Q481" s="11"/>
    </row>
    <row r="482" spans="1:17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  <c r="Q482" s="11"/>
    </row>
    <row r="483" spans="1:17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  <c r="Q483" s="11"/>
    </row>
    <row r="484" spans="1:17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  <c r="Q484" s="11"/>
    </row>
    <row r="485" spans="1:17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  <c r="Q485" s="11"/>
    </row>
    <row r="486" spans="1:17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  <c r="Q486" s="11"/>
    </row>
    <row r="487" spans="1:17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  <c r="Q487" s="11"/>
    </row>
    <row r="488" spans="1:17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  <c r="Q488" s="11"/>
    </row>
    <row r="489" spans="1:17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  <c r="Q489" s="11"/>
    </row>
    <row r="490" spans="1:17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  <c r="Q490" s="11"/>
    </row>
    <row r="491" spans="1:17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  <c r="Q491" s="11"/>
    </row>
    <row r="492" spans="1:17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  <c r="Q492" s="11"/>
    </row>
    <row r="493" spans="1:17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  <c r="Q493" s="11"/>
    </row>
    <row r="494" spans="1:17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  <c r="Q494" s="11"/>
    </row>
    <row r="495" spans="1:17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  <c r="Q495" s="11"/>
    </row>
    <row r="496" spans="1:17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  <c r="Q496" s="11"/>
    </row>
    <row r="497" spans="1:17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  <c r="Q497" s="11"/>
    </row>
    <row r="498" spans="1:17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  <c r="Q498" s="11"/>
    </row>
    <row r="499" spans="1:17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  <c r="Q499" s="11"/>
    </row>
    <row r="500" spans="1:17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  <c r="Q500" s="11"/>
    </row>
    <row r="501" spans="1:17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  <c r="Q501" s="11"/>
    </row>
    <row r="502" spans="1:17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  <c r="Q502" s="11"/>
    </row>
    <row r="503" spans="1:17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  <c r="Q503" s="11"/>
    </row>
    <row r="504" spans="1:17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  <c r="Q504" s="11"/>
    </row>
    <row r="505" spans="1:17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  <c r="Q505" s="11"/>
    </row>
    <row r="506" spans="1:17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  <c r="Q506" s="11"/>
    </row>
    <row r="507" spans="1:17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  <c r="Q507" s="11"/>
    </row>
    <row r="508" spans="1:17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  <c r="Q508" s="11"/>
    </row>
    <row r="509" spans="1:17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  <c r="Q509" s="11"/>
    </row>
    <row r="510" spans="1:17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  <c r="Q510" s="11"/>
    </row>
    <row r="511" spans="1:17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  <c r="Q511" s="11"/>
    </row>
    <row r="512" spans="1:17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  <c r="Q512" s="11"/>
    </row>
    <row r="513" spans="1:17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  <c r="Q513" s="11"/>
    </row>
    <row r="514" spans="1:17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  <c r="Q514" s="11"/>
    </row>
    <row r="515" spans="1:17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  <c r="Q515" s="11"/>
    </row>
    <row r="516" spans="1:17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  <c r="Q516" s="11"/>
    </row>
    <row r="517" spans="1:17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  <c r="Q517" s="11"/>
    </row>
    <row r="518" spans="1:17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  <c r="Q518" s="11"/>
    </row>
    <row r="519" spans="1:17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  <c r="Q519" s="11"/>
    </row>
    <row r="520" spans="1:17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  <c r="Q520" s="11"/>
    </row>
    <row r="521" spans="1:17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  <c r="Q521" s="11"/>
    </row>
    <row r="522" spans="1:17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  <c r="Q522" s="11"/>
    </row>
    <row r="523" spans="1:17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  <c r="Q523" s="11"/>
    </row>
    <row r="524" spans="1:17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  <c r="Q524" s="11"/>
    </row>
    <row r="525" spans="1:17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  <c r="Q525" s="11"/>
    </row>
    <row r="526" spans="1:17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  <c r="Q526" s="11"/>
    </row>
    <row r="527" spans="1:17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  <c r="Q527" s="11"/>
    </row>
    <row r="528" spans="1:17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  <c r="Q528" s="11"/>
    </row>
    <row r="529" spans="1:17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  <c r="Q529" s="11"/>
    </row>
    <row r="530" spans="1:17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  <c r="Q530" s="11"/>
    </row>
    <row r="531" spans="1:17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  <c r="Q531" s="11"/>
    </row>
    <row r="532" spans="1:17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  <c r="Q532" s="11"/>
    </row>
    <row r="533" spans="1:17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  <c r="Q533" s="11"/>
    </row>
    <row r="534" spans="1:17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  <c r="Q534" s="11"/>
    </row>
    <row r="535" spans="1:17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  <c r="Q535" s="11"/>
    </row>
    <row r="536" spans="1:17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  <c r="Q536" s="11"/>
    </row>
    <row r="537" spans="1:17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  <c r="Q537" s="11"/>
    </row>
    <row r="538" spans="1:17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  <c r="Q538" s="11"/>
    </row>
    <row r="539" spans="1:17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  <c r="Q539" s="11"/>
    </row>
    <row r="540" spans="1:17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  <c r="Q540" s="11"/>
    </row>
    <row r="541" spans="1:17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  <c r="Q541" s="11"/>
    </row>
    <row r="542" spans="1:17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  <c r="Q542" s="11"/>
    </row>
    <row r="543" spans="1:17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  <c r="Q543" s="11"/>
    </row>
    <row r="544" spans="1:17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  <c r="Q544" s="11"/>
    </row>
    <row r="545" spans="1:17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  <c r="Q545" s="11"/>
    </row>
    <row r="546" spans="1:17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  <c r="Q546" s="11"/>
    </row>
    <row r="547" spans="1:17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  <c r="Q547" s="11"/>
    </row>
    <row r="548" spans="1:17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  <c r="Q548" s="11"/>
    </row>
    <row r="549" spans="1:17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  <c r="Q549" s="11"/>
    </row>
    <row r="550" spans="1:17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  <c r="Q550" s="11"/>
    </row>
    <row r="551" spans="1:17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  <c r="Q551" s="11"/>
    </row>
    <row r="552" spans="1:17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  <c r="Q552" s="11"/>
    </row>
    <row r="553" spans="1:17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  <c r="Q553" s="11"/>
    </row>
    <row r="554" spans="1:17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  <c r="Q554" s="11"/>
    </row>
    <row r="555" spans="1:17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  <c r="Q555" s="11"/>
    </row>
    <row r="556" spans="1:17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  <c r="Q556" s="11"/>
    </row>
    <row r="557" spans="1:17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  <c r="Q557" s="11"/>
    </row>
    <row r="558" spans="1:17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  <c r="Q558" s="11"/>
    </row>
    <row r="559" spans="1:17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  <c r="Q559" s="11"/>
    </row>
    <row r="560" spans="1:17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  <c r="Q560" s="11"/>
    </row>
    <row r="561" spans="1:17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  <c r="Q561" s="11"/>
    </row>
    <row r="562" spans="1:17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  <c r="Q562" s="11"/>
    </row>
    <row r="563" spans="1:17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  <c r="Q563" s="11"/>
    </row>
    <row r="564" spans="1:17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  <c r="Q564" s="11"/>
    </row>
    <row r="565" spans="1:17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  <c r="Q565" s="11"/>
    </row>
    <row r="566" spans="1:17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  <c r="Q566" s="11"/>
    </row>
    <row r="567" spans="1:17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  <c r="Q567" s="11"/>
    </row>
    <row r="568" spans="1:17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  <c r="Q568" s="11"/>
    </row>
    <row r="569" spans="1:17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  <c r="Q569" s="11"/>
    </row>
    <row r="570" spans="1:17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  <c r="Q570" s="11"/>
    </row>
    <row r="571" spans="1:17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  <c r="Q571" s="11"/>
    </row>
    <row r="572" spans="1:17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  <c r="Q572" s="11"/>
    </row>
    <row r="573" spans="1:17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  <c r="Q573" s="11"/>
    </row>
    <row r="574" spans="1:17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  <c r="Q574" s="11"/>
    </row>
    <row r="575" spans="1:17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  <c r="Q575" s="11"/>
    </row>
    <row r="576" spans="1:17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  <c r="Q576" s="11"/>
    </row>
    <row r="577" spans="1:17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  <c r="Q577" s="11"/>
    </row>
    <row r="578" spans="1:17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  <c r="Q578" s="11"/>
    </row>
    <row r="579" spans="1:17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  <c r="Q579" s="11"/>
    </row>
    <row r="580" spans="1:17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  <c r="Q580" s="11"/>
    </row>
    <row r="581" spans="1:17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  <c r="Q581" s="11"/>
    </row>
    <row r="582" spans="1:17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  <c r="Q582" s="11"/>
    </row>
    <row r="583" spans="1:17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  <c r="Q583" s="11"/>
    </row>
    <row r="584" spans="1:17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  <c r="Q584" s="11"/>
    </row>
    <row r="585" spans="1:17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  <c r="Q585" s="11"/>
    </row>
    <row r="586" spans="1:17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  <c r="Q586" s="11"/>
    </row>
    <row r="587" spans="1:17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  <c r="Q587" s="11"/>
    </row>
    <row r="588" spans="1:17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  <c r="Q588" s="11"/>
    </row>
    <row r="589" spans="1:17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  <c r="Q589" s="11"/>
    </row>
    <row r="590" spans="1:17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  <c r="Q590" s="11"/>
    </row>
    <row r="591" spans="1:17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  <c r="Q591" s="11"/>
    </row>
    <row r="592" spans="1:17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  <c r="Q592" s="11"/>
    </row>
    <row r="593" spans="1:17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  <c r="Q593" s="11"/>
    </row>
    <row r="594" spans="1:17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  <c r="Q594" s="11"/>
    </row>
    <row r="595" spans="1:17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  <c r="Q595" s="11"/>
    </row>
    <row r="596" spans="1:17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  <c r="Q596" s="11"/>
    </row>
    <row r="597" spans="1:17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  <c r="Q597" s="11"/>
    </row>
    <row r="598" spans="1:17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  <c r="Q598" s="11"/>
    </row>
    <row r="599" spans="1:17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  <c r="Q599" s="11"/>
    </row>
    <row r="600" spans="1:17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  <c r="Q600" s="11"/>
    </row>
    <row r="601" spans="1:17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  <c r="Q601" s="11"/>
    </row>
    <row r="602" spans="1:17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  <c r="Q602" s="11"/>
    </row>
    <row r="603" spans="1:17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  <c r="Q603" s="11"/>
    </row>
    <row r="604" spans="1:17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  <c r="Q604" s="11"/>
    </row>
    <row r="605" spans="1:17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  <c r="Q605" s="11"/>
    </row>
    <row r="606" spans="1:17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  <c r="Q606" s="11"/>
    </row>
    <row r="607" spans="1:17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  <c r="Q607" s="11"/>
    </row>
    <row r="608" spans="1:17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  <c r="Q608" s="11"/>
    </row>
    <row r="609" spans="1:17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  <c r="Q609" s="11"/>
    </row>
    <row r="610" spans="1:17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  <c r="Q610" s="11"/>
    </row>
    <row r="611" spans="1:17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  <c r="Q611" s="11"/>
    </row>
    <row r="612" spans="1:17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  <c r="Q612" s="11"/>
    </row>
    <row r="613" spans="1:17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  <c r="Q613" s="11"/>
    </row>
    <row r="614" spans="1:17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  <c r="Q614" s="11"/>
    </row>
    <row r="615" spans="1:17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  <c r="Q615" s="11"/>
    </row>
    <row r="616" spans="1:17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  <c r="Q616" s="11"/>
    </row>
    <row r="617" spans="1:17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  <c r="Q617" s="11"/>
    </row>
    <row r="618" spans="1:17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  <c r="Q618" s="11"/>
    </row>
    <row r="619" spans="1:17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  <c r="Q619" s="11"/>
    </row>
    <row r="620" spans="1:17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  <c r="Q620" s="11"/>
    </row>
    <row r="621" spans="1:17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  <c r="Q621" s="11"/>
    </row>
    <row r="622" spans="1:17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  <c r="Q622" s="11"/>
    </row>
    <row r="623" spans="1:17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  <c r="Q623" s="11"/>
    </row>
    <row r="624" spans="1:17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  <c r="Q624" s="11"/>
    </row>
    <row r="625" spans="1:17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  <c r="Q625" s="11"/>
    </row>
    <row r="626" spans="1:17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  <c r="Q626" s="11"/>
    </row>
    <row r="627" spans="1:17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  <c r="Q627" s="11"/>
    </row>
    <row r="628" spans="1:17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  <c r="Q628" s="11"/>
    </row>
    <row r="629" spans="1:17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  <c r="Q629" s="11"/>
    </row>
    <row r="630" spans="1:17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  <c r="Q630" s="11"/>
    </row>
    <row r="631" spans="1:17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  <c r="Q631" s="11"/>
    </row>
    <row r="632" spans="1:17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  <c r="Q632" s="11"/>
    </row>
    <row r="633" spans="1:17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  <c r="Q633" s="11"/>
    </row>
    <row r="634" spans="1:17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  <c r="Q634" s="11"/>
    </row>
    <row r="635" spans="1:17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  <c r="Q635" s="11"/>
    </row>
    <row r="636" spans="1:17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  <c r="Q636" s="11"/>
    </row>
    <row r="637" spans="1:17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  <c r="Q637" s="11"/>
    </row>
    <row r="638" spans="1:17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  <c r="Q638" s="11"/>
    </row>
    <row r="639" spans="1:17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  <c r="Q639" s="11"/>
    </row>
    <row r="640" spans="1:17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  <c r="Q640" s="11"/>
    </row>
    <row r="641" spans="1:17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  <c r="Q641" s="11"/>
    </row>
    <row r="642" spans="1:17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  <c r="Q642" s="11"/>
    </row>
    <row r="643" spans="1:17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  <c r="Q643" s="11"/>
    </row>
    <row r="644" spans="1:17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  <c r="Q644" s="11"/>
    </row>
    <row r="645" spans="1:17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  <c r="Q645" s="11"/>
    </row>
    <row r="646" spans="1:17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  <c r="Q646" s="11"/>
    </row>
    <row r="647" spans="1:17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  <c r="Q647" s="11"/>
    </row>
    <row r="648" spans="1:17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  <c r="Q648" s="11"/>
    </row>
    <row r="649" spans="1:17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  <c r="Q649" s="11"/>
    </row>
    <row r="650" spans="1:17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  <c r="Q650" s="11"/>
    </row>
    <row r="651" spans="1:17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  <c r="Q651" s="11"/>
    </row>
    <row r="652" spans="1:17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  <c r="Q652" s="11"/>
    </row>
    <row r="653" spans="1:17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  <c r="Q653" s="11"/>
    </row>
    <row r="654" spans="1:17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  <c r="Q654" s="11"/>
    </row>
    <row r="655" spans="1:17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  <c r="Q655" s="11"/>
    </row>
    <row r="656" spans="1:17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  <c r="Q656" s="11"/>
    </row>
    <row r="657" spans="1:17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  <c r="Q657" s="11"/>
    </row>
    <row r="658" spans="1:17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  <c r="Q658" s="11"/>
    </row>
    <row r="659" spans="1:17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  <c r="Q659" s="11"/>
    </row>
    <row r="660" spans="1:17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  <c r="Q660" s="11"/>
    </row>
    <row r="661" spans="1:17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  <c r="Q661" s="11"/>
    </row>
    <row r="662" spans="1:17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  <c r="Q662" s="11"/>
    </row>
    <row r="663" spans="1:17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  <c r="Q663" s="11"/>
    </row>
    <row r="664" spans="1:17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  <c r="Q664" s="11"/>
    </row>
    <row r="665" spans="1:17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  <c r="Q665" s="11"/>
    </row>
    <row r="666" spans="1:17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  <c r="Q666" s="11"/>
    </row>
    <row r="667" spans="1:17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  <c r="Q667" s="11"/>
    </row>
    <row r="668" spans="1:17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  <c r="Q668" s="11"/>
    </row>
    <row r="669" spans="1:17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  <c r="Q669" s="11"/>
    </row>
    <row r="670" spans="1:17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  <c r="Q670" s="11"/>
    </row>
    <row r="671" spans="1:17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  <c r="Q671" s="11"/>
    </row>
    <row r="672" spans="1:17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  <c r="Q672" s="11"/>
    </row>
    <row r="673" spans="1:17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  <c r="Q673" s="11"/>
    </row>
    <row r="674" spans="1:17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  <c r="Q674" s="11"/>
    </row>
    <row r="675" spans="1:17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  <c r="Q675" s="11"/>
    </row>
    <row r="676" spans="1:17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  <c r="Q676" s="11"/>
    </row>
    <row r="677" spans="1:17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  <c r="Q677" s="11"/>
    </row>
    <row r="678" spans="1:17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  <c r="Q678" s="11"/>
    </row>
    <row r="679" spans="1:17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  <c r="Q679" s="11"/>
    </row>
    <row r="680" spans="1:17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  <c r="Q680" s="11"/>
    </row>
    <row r="681" spans="1:17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  <c r="Q681" s="11"/>
    </row>
    <row r="682" spans="1:17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  <c r="Q682" s="11"/>
    </row>
    <row r="683" spans="1:17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  <c r="Q683" s="11"/>
    </row>
    <row r="684" spans="1:17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  <c r="Q684" s="11"/>
    </row>
    <row r="685" spans="1:17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  <c r="Q685" s="11"/>
    </row>
    <row r="686" spans="1:17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  <c r="Q686" s="11"/>
    </row>
    <row r="687" spans="1:17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  <c r="Q687" s="11"/>
    </row>
    <row r="688" spans="1:17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  <c r="Q688" s="11"/>
    </row>
    <row r="689" spans="1:17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  <c r="Q689" s="11"/>
    </row>
    <row r="690" spans="1:17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  <c r="Q690" s="11"/>
    </row>
    <row r="691" spans="1:17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  <c r="Q691" s="11"/>
    </row>
    <row r="692" spans="1:17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  <c r="Q692" s="11"/>
    </row>
    <row r="693" spans="1:17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  <c r="Q693" s="11"/>
    </row>
    <row r="694" spans="1:17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  <c r="Q694" s="11"/>
    </row>
    <row r="695" spans="1:17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  <c r="Q695" s="11"/>
    </row>
    <row r="696" spans="1:17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  <c r="Q696" s="11"/>
    </row>
    <row r="697" spans="1:17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  <c r="Q697" s="11"/>
    </row>
    <row r="698" spans="1:17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  <c r="Q698" s="11"/>
    </row>
    <row r="699" spans="1:17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  <c r="Q699" s="11"/>
    </row>
    <row r="700" spans="1:17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  <c r="Q700" s="11"/>
    </row>
    <row r="701" spans="1:17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  <c r="Q701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DF25-8626-4567-BD51-F1E4DF631545}">
  <dimension ref="B1:T27"/>
  <sheetViews>
    <sheetView showGridLines="0" tabSelected="1" zoomScale="70" zoomScaleNormal="70" workbookViewId="0">
      <selection activeCell="D24" sqref="D24"/>
    </sheetView>
  </sheetViews>
  <sheetFormatPr defaultRowHeight="15" x14ac:dyDescent="0.25"/>
  <cols>
    <col min="1" max="1" width="1.140625" customWidth="1"/>
    <col min="2" max="2" width="20.7109375" customWidth="1"/>
    <col min="3" max="3" width="1" customWidth="1"/>
    <col min="4" max="4" width="19.85546875" customWidth="1"/>
    <col min="5" max="5" width="19.5703125" bestFit="1" customWidth="1"/>
    <col min="6" max="6" width="0.7109375" customWidth="1"/>
    <col min="7" max="7" width="14.28515625" bestFit="1" customWidth="1"/>
    <col min="8" max="8" width="16.28515625" customWidth="1"/>
    <col min="9" max="9" width="16.140625" customWidth="1"/>
    <col min="10" max="11" width="23.42578125" bestFit="1" customWidth="1"/>
    <col min="12" max="12" width="32.28515625" customWidth="1"/>
    <col min="13" max="13" width="3.7109375" customWidth="1"/>
    <col min="14" max="16" width="12.28515625" bestFit="1" customWidth="1"/>
    <col min="17" max="17" width="14.140625" bestFit="1" customWidth="1"/>
    <col min="18" max="18" width="12.28515625" bestFit="1" customWidth="1"/>
    <col min="19" max="19" width="7.7109375" customWidth="1"/>
    <col min="20" max="20" width="19.5703125" hidden="1" customWidth="1"/>
    <col min="21" max="560" width="19.5703125" bestFit="1" customWidth="1"/>
    <col min="561" max="561" width="12.140625" bestFit="1" customWidth="1"/>
  </cols>
  <sheetData>
    <row r="1" spans="2:13" ht="0.75" customHeight="1" x14ac:dyDescent="0.25"/>
    <row r="2" spans="2:13" hidden="1" x14ac:dyDescent="0.25"/>
    <row r="3" spans="2:13" ht="3.75" customHeight="1" x14ac:dyDescent="0.25"/>
    <row r="9" spans="2:13" x14ac:dyDescent="0.25">
      <c r="B9" t="s">
        <v>52</v>
      </c>
      <c r="D9" s="12" t="s">
        <v>53</v>
      </c>
      <c r="E9" s="13" t="s">
        <v>54</v>
      </c>
      <c r="G9" s="18" t="s">
        <v>58</v>
      </c>
      <c r="H9" s="17" t="s">
        <v>55</v>
      </c>
      <c r="L9" s="18" t="s">
        <v>56</v>
      </c>
      <c r="M9" s="17" t="s">
        <v>57</v>
      </c>
    </row>
    <row r="10" spans="2:13" ht="18.75" customHeight="1" x14ac:dyDescent="0.25">
      <c r="B10" s="16">
        <v>118726350.25999992</v>
      </c>
      <c r="D10" s="15">
        <v>16893702.260000009</v>
      </c>
      <c r="E10" s="14">
        <f>GETPIVOTDATA("Profit",$D$9)/GETPIVOTDATA(" Sales",$B$9)</f>
        <v>0.14229109395685402</v>
      </c>
      <c r="G10" s="19" t="s">
        <v>16</v>
      </c>
      <c r="H10" s="20">
        <v>3529228.8850000002</v>
      </c>
      <c r="L10" s="19" t="s">
        <v>11</v>
      </c>
      <c r="M10" s="20">
        <v>1800593.6399999994</v>
      </c>
    </row>
    <row r="11" spans="2:13" ht="16.5" customHeight="1" x14ac:dyDescent="0.25">
      <c r="G11" s="19" t="s">
        <v>18</v>
      </c>
      <c r="H11" s="20">
        <v>3781020.7800000007</v>
      </c>
      <c r="J11" s="10"/>
      <c r="L11" s="19" t="s">
        <v>9</v>
      </c>
      <c r="M11" s="20">
        <v>19611694.375</v>
      </c>
    </row>
    <row r="12" spans="2:13" ht="15.75" customHeight="1" x14ac:dyDescent="0.25">
      <c r="G12" s="19" t="s">
        <v>19</v>
      </c>
      <c r="H12" s="20">
        <v>3680388.8200000008</v>
      </c>
      <c r="J12" s="10"/>
      <c r="L12" s="19" t="s">
        <v>10</v>
      </c>
      <c r="M12" s="20">
        <v>52504260.670000039</v>
      </c>
    </row>
    <row r="13" spans="2:13" x14ac:dyDescent="0.25">
      <c r="G13" s="19" t="s">
        <v>20</v>
      </c>
      <c r="H13" s="20">
        <v>2907523.1100000003</v>
      </c>
      <c r="L13" s="19" t="s">
        <v>8</v>
      </c>
      <c r="M13" s="20">
        <v>2381883.0750000002</v>
      </c>
    </row>
    <row r="14" spans="2:13" x14ac:dyDescent="0.25">
      <c r="G14" s="19" t="s">
        <v>60</v>
      </c>
      <c r="H14" s="20">
        <v>2995540.6649999991</v>
      </c>
      <c r="L14" s="19" t="s">
        <v>7</v>
      </c>
      <c r="M14" s="20">
        <v>42427918.5</v>
      </c>
    </row>
    <row r="15" spans="2:13" x14ac:dyDescent="0.25">
      <c r="G15" s="17" t="s">
        <v>51</v>
      </c>
      <c r="H15" s="21">
        <v>16893702.260000002</v>
      </c>
      <c r="L15" s="17" t="s">
        <v>51</v>
      </c>
      <c r="M15" s="21">
        <v>118726350.26000004</v>
      </c>
    </row>
    <row r="16" spans="2:13" ht="7.5" customHeight="1" x14ac:dyDescent="0.25">
      <c r="M16" s="17"/>
    </row>
    <row r="17" spans="7:12" hidden="1" x14ac:dyDescent="0.25"/>
    <row r="21" spans="7:12" x14ac:dyDescent="0.25">
      <c r="L21" s="17"/>
    </row>
    <row r="22" spans="7:12" ht="7.5" customHeight="1" x14ac:dyDescent="0.25"/>
    <row r="23" spans="7:12" x14ac:dyDescent="0.25">
      <c r="G23" s="18" t="s">
        <v>59</v>
      </c>
      <c r="H23" s="17" t="s">
        <v>57</v>
      </c>
      <c r="I23" s="17" t="s">
        <v>55</v>
      </c>
    </row>
    <row r="24" spans="7:12" ht="21.75" customHeight="1" x14ac:dyDescent="0.25">
      <c r="G24" s="19" t="s">
        <v>14</v>
      </c>
      <c r="H24" s="20">
        <v>26415255.510000009</v>
      </c>
      <c r="I24" s="20">
        <v>3878464.5100000007</v>
      </c>
    </row>
    <row r="25" spans="7:12" ht="23.25" customHeight="1" x14ac:dyDescent="0.25">
      <c r="G25" s="19" t="s">
        <v>15</v>
      </c>
      <c r="H25" s="20">
        <v>92311094.749999985</v>
      </c>
      <c r="I25" s="20">
        <v>13015237.749999994</v>
      </c>
    </row>
    <row r="26" spans="7:12" ht="27.75" customHeight="1" x14ac:dyDescent="0.25">
      <c r="G26" s="17" t="s">
        <v>51</v>
      </c>
      <c r="H26" s="21">
        <v>118726350.25999999</v>
      </c>
      <c r="I26" s="21">
        <v>16893702.259999994</v>
      </c>
    </row>
    <row r="27" spans="7:12" ht="15.7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Lucas Lobato</cp:lastModifiedBy>
  <dcterms:created xsi:type="dcterms:W3CDTF">2014-01-28T02:45:41Z</dcterms:created>
  <dcterms:modified xsi:type="dcterms:W3CDTF">2026-02-03T12:16:11Z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